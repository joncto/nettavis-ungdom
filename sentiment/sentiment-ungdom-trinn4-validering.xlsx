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jon/Documents/GitHub/nettavis-ungdom/sentiment/"/>
    </mc:Choice>
  </mc:AlternateContent>
  <xr:revisionPtr revIDLastSave="0" documentId="13_ncr:1_{16E8D53B-58DA-D843-BE54-2DA87AF2AC04}" xr6:coauthVersionLast="47" xr6:coauthVersionMax="47" xr10:uidLastSave="{00000000-0000-0000-0000-000000000000}"/>
  <bookViews>
    <workbookView xWindow="2360" yWindow="2520" windowWidth="24760" windowHeight="18060" tabRatio="500" xr2:uid="{00000000-000D-0000-FFFF-FFFF00000000}"/>
  </bookViews>
  <sheets>
    <sheet name="Konkordanser" sheetId="1" r:id="rId1"/>
    <sheet name="Sammendrag" sheetId="2" r:id="rId2"/>
  </sheets>
  <definedNames>
    <definedName name="_xlnm._FilterDatabase" localSheetId="0" hidden="1">Konkordanser!$A$1:$I$201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" i="2" l="1"/>
  <c r="B10" i="2"/>
  <c r="D7" i="2"/>
  <c r="B7" i="2"/>
  <c r="D6" i="2"/>
  <c r="B6" i="2"/>
  <c r="D5" i="2"/>
  <c r="B5" i="2"/>
  <c r="D4" i="2"/>
  <c r="B4" i="2"/>
  <c r="D3" i="2"/>
  <c r="B3" i="2"/>
  <c r="B8" i="2" l="1"/>
  <c r="C3" i="2" s="1"/>
  <c r="C7" i="2" l="1"/>
  <c r="C4" i="2"/>
  <c r="C5" i="2"/>
  <c r="C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tc={FB5EFE60-56B7-584F-BC11-F108A9460B62}</author>
    <author>tc={09108489-122B-6145-98DA-B0645CD4E353}</author>
    <author>tc={00577E10-1608-6B43-99AF-502DDC346FD1}</author>
    <author>tc={B13BB890-38C7-4B42-9451-7D9D2B3D6211}</author>
    <author>tc={C7640E88-BDCA-EC4D-934E-DF44C2F7C28C}</author>
    <author>tc={4F67F3B2-FA7C-1542-A5C3-EB10D50FBA45}</author>
  </authors>
  <commentList>
    <comment ref="E8" authorId="0" shapeId="0" xr:uid="{FB5EFE60-56B7-584F-BC11-F108A9460B62}">
      <text>
        <t>[Kommentartråd]
Din versjon av Excel lar deg lese denne kommentartråden. Eventuelle endringer i den vil imidlertid bli fjernet hvis filen åpnes i en nyere versjon av Excel. Finn ut mer: https://go.microsoft.com/fwlink/?linkid=870924
Kommentar:
    positiv?</t>
      </text>
    </comment>
    <comment ref="E13" authorId="1" shapeId="0" xr:uid="{09108489-122B-6145-98DA-B0645CD4E353}">
      <text>
        <t>[Kommentartråd]
Din versjon av Excel lar deg lese denne kommentartråden. Eventuelle endringer i den vil imidlertid bli fjernet hvis filen åpnes i en nyere versjon av Excel. Finn ut mer: https://go.microsoft.com/fwlink/?linkid=870924
Kommentar:
    håndtere smitte/korona-omtale som klassifiseres som negative?</t>
      </text>
    </comment>
    <comment ref="E15" authorId="2" shapeId="0" xr:uid="{00577E10-1608-6B43-99AF-502DDC346FD1}">
      <text>
        <t>[Kommentartråd]
Din versjon av Excel lar deg lese denne kommentartråden. Eventuelle endringer i den vil imidlertid bli fjernet hvis filen åpnes i en nyere versjon av Excel. Finn ut mer: https://go.microsoft.com/fwlink/?linkid=870924
Kommentar:
    nøytral? ungdom ikke noen som hetser</t>
      </text>
    </comment>
    <comment ref="E16" authorId="3" shapeId="0" xr:uid="{B13BB890-38C7-4B42-9451-7D9D2B3D6211}">
      <text>
        <t>[Kommentartråd]
Din versjon av Excel lar deg lese denne kommentartråden. Eventuelle endringer i den vil imidlertid bli fjernet hvis filen åpnes i en nyere versjon av Excel. Finn ut mer: https://go.microsoft.com/fwlink/?linkid=870924
Kommentar:
    nøytral?</t>
      </text>
    </comment>
    <comment ref="E157" authorId="4" shapeId="0" xr:uid="{C7640E88-BDCA-EC4D-934E-DF44C2F7C28C}">
      <text>
        <t>[Kommentartråd]
Din versjon av Excel lar deg lese denne kommentartråden. Eventuelle endringer i den vil imidlertid bli fjernet hvis filen åpnes i en nyere versjon av Excel. Finn ut mer: https://go.microsoft.com/fwlink/?linkid=870924
Kommentar:
    nøytral?</t>
      </text>
    </comment>
    <comment ref="E158" authorId="5" shapeId="0" xr:uid="{4F67F3B2-FA7C-1542-A5C3-EB10D50FBA45}">
      <text>
        <t>[Kommentartråd]
Din versjon av Excel lar deg lese denne kommentartråden. Eventuelle endringer i den vil imidlertid bli fjernet hvis filen åpnes i en nyere versjon av Excel. Finn ut mer: https://go.microsoft.com/fwlink/?linkid=870924
Kommentar:
    positiv?</t>
      </text>
    </comment>
  </commentList>
</comments>
</file>

<file path=xl/sharedStrings.xml><?xml version="1.0" encoding="utf-8"?>
<sst xmlns="http://schemas.openxmlformats.org/spreadsheetml/2006/main" count="1039" uniqueCount="640">
  <si>
    <t>conc_id</t>
  </si>
  <si>
    <t>dhlabid</t>
  </si>
  <si>
    <t>konkordanse</t>
  </si>
  <si>
    <t>nøkkelord</t>
  </si>
  <si>
    <t>sentiment</t>
  </si>
  <si>
    <t>label</t>
  </si>
  <si>
    <t>begrunnelse</t>
  </si>
  <si>
    <t>manuell_sentiment</t>
  </si>
  <si>
    <t>kommentar</t>
  </si>
  <si>
    <t>00000</t>
  </si>
  <si>
    <r>
      <rPr>
        <sz val="10"/>
        <rFont val="Arial"/>
        <family val="2"/>
      </rPr>
      <t xml:space="preserve">... rammer de aller svakeste , slik som barn ,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og de syke , når vi selv nylig har innvilget... </t>
    </r>
  </si>
  <si>
    <t>ungdom</t>
  </si>
  <si>
    <t>negativ</t>
  </si>
  <si>
    <t>Ungdom listet blant «de aller svakeste» som rammes negativt.</t>
  </si>
  <si>
    <t>00001</t>
  </si>
  <si>
    <r>
      <rPr>
        <sz val="10"/>
        <rFont val="Arial"/>
        <family val="2"/>
      </rPr>
      <t xml:space="preserve">I morgenkveld , tirsdag starter aktivitetstilbudet for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som ikke ønsker å være med i organisert idrett opp igjen ,... </t>
    </r>
  </si>
  <si>
    <t>positiv</t>
  </si>
  <si>
    <t>Aktivitetstilbud som gis til ungdom utenfor organisert idrett.</t>
  </si>
  <si>
    <t>00002</t>
  </si>
  <si>
    <r>
      <rPr>
        <sz val="10"/>
        <rFont val="Arial"/>
        <family val="2"/>
      </rPr>
      <t xml:space="preserve">... Barn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fra disse områdene vil for det meste bli transportert med bil dersom Drengsrud-området blir målet for disse... </t>
    </r>
  </si>
  <si>
    <t>nøytral</t>
  </si>
  <si>
    <t>Ren logistikkbeskrivelse om transport av barn og ungdom.</t>
  </si>
  <si>
    <t>00003</t>
  </si>
  <si>
    <r>
      <rPr>
        <sz val="10"/>
        <rFont val="Arial"/>
        <family val="2"/>
      </rPr>
      <t xml:space="preserve">Først klokken 03.46 natt til søndag kom en politipatrulje tilfeldigvis over mange berusede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i bunkeren på St . Hanshaugen... </t>
    </r>
  </si>
  <si>
    <t>ungdommer</t>
  </si>
  <si>
    <t>Berusede ungdommer påtruffet av politiet – rus/problematferd.</t>
  </si>
  <si>
    <t>00004</t>
  </si>
  <si>
    <r>
      <rPr>
        <sz val="10"/>
        <rFont val="Arial"/>
        <family val="2"/>
      </rPr>
      <t xml:space="preserve">... Her kan vi møte andre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som har lignende interesser som oss innen kunst og musikk – på våre premisser... </t>
    </r>
  </si>
  <si>
    <t>Ungdom finner fellesskap og interessefeller på egne premisser.</t>
  </si>
  <si>
    <t>00005</t>
  </si>
  <si>
    <r>
      <rPr>
        <sz val="10"/>
        <rFont val="Arial"/>
        <family val="2"/>
      </rPr>
      <t xml:space="preserve">O ’ Sullivan har helt siden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gjort egne notater etter både gode og svake kamper . De siste dagene har... </t>
    </r>
  </si>
  <si>
    <t>ungdommen</t>
  </si>
  <si>
    <t>ikke relevant</t>
  </si>
  <si>
    <t>Retrospektiv biografisk detalj om O'Sullivans egen ungdomstid.</t>
  </si>
  <si>
    <t>00006</t>
  </si>
  <si>
    <r>
      <rPr>
        <sz val="10"/>
        <rFont val="Arial"/>
        <family val="2"/>
      </rPr>
      <t xml:space="preserve">Når vi skal avgjøre hvilke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som er « smarte » i landet baserer vi det hvor bra de gjør det i... </t>
    </r>
  </si>
  <si>
    <t>Faglig/diskursiv refleksjon over hvordan ungdom kategoriseres som «smarte».</t>
  </si>
  <si>
    <t>00007</t>
  </si>
  <si>
    <r>
      <rPr>
        <sz val="10"/>
        <rFont val="Arial"/>
        <family val="2"/>
      </rPr>
      <t xml:space="preserve">Psykiske plager er vanlige hos barn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. Noen studier kan tyde på at flere barn rammes og at... </t>
    </r>
  </si>
  <si>
    <t>Nøytralt formulert faktapåstand, men negativt tema (psykiske plager).</t>
  </si>
  <si>
    <t>00008</t>
  </si>
  <si>
    <r>
      <rPr>
        <sz val="10"/>
        <rFont val="Arial"/>
        <family val="2"/>
      </rPr>
      <t xml:space="preserve">... – Blant annet ønsker vi flere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inn som trenere og ledere i nordlandsidretten , gjennom trener- og lederkurs ,... </t>
    </r>
  </si>
  <si>
    <t>Ungdom ønskes inn som trenere og ledere – bidragsytere.</t>
  </si>
  <si>
    <t>00009</t>
  </si>
  <si>
    <r>
      <rPr>
        <sz val="10"/>
        <rFont val="Arial"/>
        <family val="2"/>
      </rPr>
      <t xml:space="preserve">Bjørnlands kronargument er likevel at sanksjoner er et vesentlig virkemiddel for å fange opp og hjelpe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som står i... </t>
    </r>
  </si>
  <si>
    <t>Ungdom som «står i» vansker og må fanges opp og hjelpes.</t>
  </si>
  <si>
    <t>00010</t>
  </si>
  <si>
    <r>
      <rPr>
        <sz val="10"/>
        <rFont val="Arial"/>
        <family val="2"/>
      </rPr>
      <t xml:space="preserve">Da både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og de voksne synes dette var gøy , ble det bestemt at man skulle fortsette treff ,... </t>
    </r>
  </si>
  <si>
    <t>ungdommene</t>
  </si>
  <si>
    <t>Ungdommene syntes treffet var gøy; fellesskap videreføres.</t>
  </si>
  <si>
    <t>00011</t>
  </si>
  <si>
    <r>
      <rPr>
        <sz val="10"/>
        <rFont val="Arial"/>
        <family val="2"/>
      </rPr>
      <t xml:space="preserve">... Men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under 18 år utgjør en stor andel av verdens befolkning , og millioner av barn har blitt smittet... </t>
    </r>
  </si>
  <si>
    <t>Ungdom omtales i sammenheng med smitte og sykdom.</t>
  </si>
  <si>
    <t>00012</t>
  </si>
  <si>
    <r>
      <rPr>
        <sz val="10"/>
        <rFont val="Arial"/>
        <family val="2"/>
      </rPr>
      <t xml:space="preserve">I sin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ønsket Bobby å reise på båt . Denne drømmen ble byttet ut med narkotika , og et... </t>
    </r>
  </si>
  <si>
    <t>«I sin ungdom» – retrospektiv omtale av Bobbys egen avsluttede ungdomstid.</t>
  </si>
  <si>
    <t>00013</t>
  </si>
  <si>
    <r>
      <rPr>
        <sz val="10"/>
        <rFont val="Arial"/>
        <family val="2"/>
      </rPr>
      <t xml:space="preserve">Holtvedt forteller at nærmest samtlige av deres medlemmer i Grønn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mottar hets hver gang de ytrer noe i offentligheten... </t>
    </r>
  </si>
  <si>
    <t>Ungdom</t>
  </si>
  <si>
    <t>ungdomsorg</t>
  </si>
  <si>
    <t>Medlemmer i Grønn Ungdom mottar hets når de ytrer seg.</t>
  </si>
  <si>
    <t>00014</t>
  </si>
  <si>
    <r>
      <rPr>
        <sz val="10"/>
        <rFont val="Arial"/>
        <family val="2"/>
      </rPr>
      <t xml:space="preserve">... Nå må vi stikke fingeren i jorda og se hva som faktisk har skjedd for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våre disse åra .... </t>
    </r>
  </si>
  <si>
    <t>Oppfordring om å se hva som «faktisk har skjedd» med ungdommene – bekymret framstilling.</t>
  </si>
  <si>
    <t>00015</t>
  </si>
  <si>
    <r>
      <rPr>
        <sz val="10"/>
        <rFont val="Arial"/>
        <family val="2"/>
      </rPr>
      <t xml:space="preserve">Natur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har hatt samarbeidsprosjekter med likesinnede organisasjoner i nordøst-Russland . Woje sier at de er stolte over det... </t>
    </r>
  </si>
  <si>
    <t>Natur og Ungdom har samarbeidsprosjekter de er stolte over.</t>
  </si>
  <si>
    <t>00016</t>
  </si>
  <si>
    <r>
      <rPr>
        <sz val="10"/>
        <rFont val="Arial"/>
        <family val="2"/>
      </rPr>
      <t xml:space="preserve">Også foreldrene får beskjed om å følge opp og motivere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helt til skoleslutt .</t>
    </r>
  </si>
  <si>
    <t>Ungdommene er objekt for foreldreoppfølging; ingen positiv/negativ valør.</t>
  </si>
  <si>
    <t>00017</t>
  </si>
  <si>
    <r>
      <rPr>
        <sz val="10"/>
        <rFont val="Arial"/>
        <family val="2"/>
      </rPr>
      <t xml:space="preserve">Selv om selve huset </t>
    </r>
    <r>
      <rPr>
        <b/>
        <sz val="10"/>
        <rFont val="Arial"/>
        <family val="2"/>
      </rPr>
      <t>Ungdommens</t>
    </r>
    <r>
      <rPr>
        <sz val="10"/>
        <rFont val="Arial"/>
        <family val="2"/>
      </rPr>
      <t xml:space="preserve"> Hus er stengt ei stund fremover , er ikke vi som jobber her stengte !... </t>
    </r>
  </si>
  <si>
    <t>Ungdommens</t>
  </si>
  <si>
    <t>Praktisk informasjon om drift ved Ungdommens Hus under stenging.</t>
  </si>
  <si>
    <t>00018</t>
  </si>
  <si>
    <r>
      <rPr>
        <sz val="10"/>
        <rFont val="Arial"/>
        <family val="2"/>
      </rPr>
      <t xml:space="preserve">... Jeg mente at det måtte finnes andre , mer fruktbare og mer spennende måter å kategorisere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på enn i... </t>
    </r>
  </si>
  <si>
    <t>uklart</t>
  </si>
  <si>
    <t>Avkuttet setning om måter å kategorisere ungdom på; for lite kontekst.</t>
  </si>
  <si>
    <t>00019</t>
  </si>
  <si>
    <r>
      <rPr>
        <sz val="10"/>
        <rFont val="Arial"/>
        <family val="2"/>
      </rPr>
      <t xml:space="preserve">... Med untak av noen </t>
    </r>
    <r>
      <rPr>
        <b/>
        <sz val="10"/>
        <rFont val="Arial"/>
        <family val="2"/>
      </rPr>
      <t>ungdommelige</t>
    </r>
    <r>
      <rPr>
        <sz val="10"/>
        <rFont val="Arial"/>
        <family val="2"/>
      </rPr>
      <t xml:space="preserve"> sprell , har man sluttet rekkene og fulgt de grepene man er blitt bedt en... </t>
    </r>
  </si>
  <si>
    <t>ungdommelige</t>
  </si>
  <si>
    <t>«Ungdommelige sprell» brukt metaforisk; ingen faktisk ung person i teksten.</t>
  </si>
  <si>
    <t>00020</t>
  </si>
  <si>
    <r>
      <rPr>
        <sz val="10"/>
        <rFont val="Arial"/>
        <family val="2"/>
      </rPr>
      <t xml:space="preserve">... Det er veldig bekymringsfullt at det er så mye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og barn til stede . Så ser man at flere... </t>
    </r>
  </si>
  <si>
    <t>«Bekymringsfullt» at mange ungdommer og barn er til stede.</t>
  </si>
  <si>
    <t>00021</t>
  </si>
  <si>
    <r>
      <rPr>
        <sz val="10"/>
        <rFont val="Arial"/>
        <family val="2"/>
      </rPr>
      <t xml:space="preserve">... På en busstur satt hun ved siden av en eldre dame da en gruppe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, nesten alle innvandrere ,... </t>
    </r>
  </si>
  <si>
    <t>Anekdote om gruppe ungdommer på buss er avkuttet; ingenting sies om hva som skjer.</t>
  </si>
  <si>
    <t>00022</t>
  </si>
  <si>
    <r>
      <rPr>
        <sz val="10"/>
        <rFont val="Arial"/>
        <family val="2"/>
      </rPr>
      <t xml:space="preserve">... 65 prosent av den zambiske befolkningen er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, og et fåtall av disse har en fast jobb og stabil... </t>
    </r>
  </si>
  <si>
    <t>Statistikk om at få av landets ungdommer har fast jobb.</t>
  </si>
  <si>
    <t>00023</t>
  </si>
  <si>
    <r>
      <rPr>
        <sz val="10"/>
        <rFont val="Arial"/>
        <family val="2"/>
      </rPr>
      <t xml:space="preserve">... Det å jobbe med nettverket som barn ,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og familier er i til daglig , er viktig for å... </t>
    </r>
  </si>
  <si>
    <t>Fagspråk om nettverksarbeid rettet mot barn, ungdom og familier.</t>
  </si>
  <si>
    <t>00024</t>
  </si>
  <si>
    <r>
      <rPr>
        <sz val="10"/>
        <rFont val="Arial"/>
        <family val="2"/>
      </rPr>
      <t xml:space="preserve">Selv har jeg intervjuet et stort antall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som kom til Norge som enslige mindreårige asylsøkere ( se nkvts.no ,... </t>
    </r>
  </si>
  <si>
    <t>Ren kategoribeskrivelse (enslige mindreårige asylsøkere) uten valør.</t>
  </si>
  <si>
    <t>00025</t>
  </si>
  <si>
    <r>
      <rPr>
        <sz val="10"/>
        <rFont val="Arial"/>
        <family val="2"/>
      </rPr>
      <t xml:space="preserve">... hun og viser blant annet til at 5000 flere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går ut av videregående med et fagbrev eller vitnemål i... </t>
    </r>
  </si>
  <si>
    <t>5000 flere ungdommer fullfører videregående med fagbrev/vitnemål.</t>
  </si>
  <si>
    <t>00026</t>
  </si>
  <si>
    <r>
      <rPr>
        <sz val="10"/>
        <rFont val="Arial"/>
        <family val="2"/>
      </rPr>
      <t xml:space="preserve">- Vi vet at det er innvandrere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som er smittedrivere , ikke andre flinke og lovlydige folk som... </t>
    </r>
  </si>
  <si>
    <t>Ungdom utpekes som «smittedrivere» i motsetning til «flinke og lovlydige folk» – stigmatiserende.</t>
  </si>
  <si>
    <t>00027</t>
  </si>
  <si>
    <r>
      <rPr>
        <sz val="10"/>
        <rFont val="Arial"/>
        <family val="2"/>
      </rPr>
      <t xml:space="preserve">– Derfor bør vi , i samarbeid med barnevernet og kommunene , finne andre løsninger for disse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. Vår... </t>
    </r>
  </si>
  <si>
    <t>Forvaltningsspråk om samarbeid med barnevern og kommuner om løsninger.</t>
  </si>
  <si>
    <t>00028</t>
  </si>
  <si>
    <r>
      <rPr>
        <sz val="10"/>
        <rFont val="Arial"/>
        <family val="2"/>
      </rPr>
      <t xml:space="preserve">Etter modell fra Natteravnene skal fem frivillige gå runder på </t>
    </r>
    <r>
      <rPr>
        <b/>
        <sz val="10"/>
        <rFont val="Arial"/>
        <family val="2"/>
      </rPr>
      <t>ungdommenes</t>
    </r>
    <r>
      <rPr>
        <sz val="10"/>
        <rFont val="Arial"/>
        <family val="2"/>
      </rPr>
      <t xml:space="preserve"> møteplasser natt til første mai . Nå oppfordrer de... </t>
    </r>
  </si>
  <si>
    <t>ungdommenes</t>
  </si>
  <si>
    <t>Beskrivelse av frivillige som vandrer på ungdommenes møteplasser; ingen valør oppgitt.</t>
  </si>
  <si>
    <t>00029</t>
  </si>
  <si>
    <r>
      <rPr>
        <sz val="10"/>
        <rFont val="Arial"/>
        <family val="2"/>
      </rPr>
      <t xml:space="preserve">– Vi deler ut prisen til ein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som nyttar nynorsk og som er eit godt førebilete for andre ungdomar... </t>
    </r>
  </si>
  <si>
    <t>Ungdom får pris og omtales som «eit godt førebilete».</t>
  </si>
  <si>
    <t>00030</t>
  </si>
  <si>
    <r>
      <rPr>
        <sz val="10"/>
        <rFont val="Arial"/>
        <family val="2"/>
      </rPr>
      <t xml:space="preserve">... fortelle fra Rennebu , er at nøyaktig samtidig med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med blålys ble stanset i Oppdal , ble det varslet... </t>
    </r>
  </si>
  <si>
    <t>Ungdommen ble stanset av utrykningskjøretøy/politi.</t>
  </si>
  <si>
    <t>00031</t>
  </si>
  <si>
    <r>
      <rPr>
        <sz val="10"/>
        <rFont val="Arial"/>
        <family val="2"/>
      </rPr>
      <t xml:space="preserve">– Men et stykke ut i demonstrasjonen valgte en gruppe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å forsere gjerdene og gå til angrep på SIAN... </t>
    </r>
  </si>
  <si>
    <t>Gruppe ungdommer forserte gjerder og gikk til angrep – vold.</t>
  </si>
  <si>
    <t>00032</t>
  </si>
  <si>
    <r>
      <rPr>
        <sz val="10"/>
        <rFont val="Arial"/>
        <family val="2"/>
      </rPr>
      <t xml:space="preserve">... – Jeg vil vise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at det finnes bedre veier , bedre muligheter – at de kan bruke talentet sitt... </t>
    </r>
  </si>
  <si>
    <t>Ungdommen omtales som talentfull og med muligheter foran seg.</t>
  </si>
  <si>
    <t>00033</t>
  </si>
  <si>
    <r>
      <rPr>
        <sz val="10"/>
        <rFont val="Arial"/>
        <family val="2"/>
      </rPr>
      <t xml:space="preserve">DebattMetooKristin Knutsen , sentralstyremedlem i Miljøpartiet De Grønne og Josefine Gjerde ( tekst ) , fylkesleder i Grøn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Vestland</t>
    </r>
  </si>
  <si>
    <t>Byline: fylkesleder i Grøn Ungdom Vestland; ingen framstilling av ungdom.</t>
  </si>
  <si>
    <t>00034</t>
  </si>
  <si>
    <r>
      <rPr>
        <sz val="10"/>
        <rFont val="Arial"/>
        <family val="2"/>
      </rPr>
      <t xml:space="preserve">... Vi kommer stadig oftere i kontakt med usikre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som ganske seint har begynt å lurte på om dette kanskje... </t>
    </r>
  </si>
  <si>
    <t>Negativt adjektiv «usikre» om ungdommene.</t>
  </si>
  <si>
    <t>00035</t>
  </si>
  <si>
    <r>
      <rPr>
        <sz val="10"/>
        <rFont val="Arial"/>
        <family val="2"/>
      </rPr>
      <t xml:space="preserve">Byråd Omar Samy Gamal ( SV ) tok seg tid til å snakke med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, før han holdt en... </t>
    </r>
  </si>
  <si>
    <t>Byråd snakket med ungdommene; ren hendelsesbeskrivelse.</t>
  </si>
  <si>
    <t>00036</t>
  </si>
  <si>
    <r>
      <rPr>
        <sz val="10"/>
        <rFont val="Arial"/>
        <family val="2"/>
      </rPr>
      <t xml:space="preserve">... Ifølge Reim og Timraz er huseier klar for at mange festlystne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snart inntar bygården . Selv om Reim omtaler... </t>
    </r>
  </si>
  <si>
    <t>Beskrivende omtale av at festlystne ungdommer flytter inn i bygården.</t>
  </si>
  <si>
    <t>00037</t>
  </si>
  <si>
    <r>
      <rPr>
        <sz val="10"/>
        <rFont val="Arial"/>
        <family val="2"/>
      </rPr>
      <t xml:space="preserve">... For vi vil jo ha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tilbake til bygda !</t>
    </r>
  </si>
  <si>
    <t>Ungdommen er ettertraktet og ønskes tilbake til bygda.</t>
  </si>
  <si>
    <t>00038</t>
  </si>
  <si>
    <r>
      <rPr>
        <sz val="10"/>
        <rFont val="Arial"/>
        <family val="2"/>
      </rPr>
      <t xml:space="preserve">Målgruppen er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og oppover . Derfor er også designet trendy og ser ikke ut som en melkekartong med vann... </t>
    </r>
  </si>
  <si>
    <t>Ren markedsføringskategorisering av målgruppe.</t>
  </si>
  <si>
    <t>00039</t>
  </si>
  <si>
    <r>
      <rPr>
        <sz val="10"/>
        <rFont val="Arial"/>
        <family val="2"/>
      </rPr>
      <t xml:space="preserve">... Her ligger fremtidens arbeidsplasser i nord og ved å sørge for at flere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velger ykesfag vil flere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bli... </t>
    </r>
  </si>
  <si>
    <t>Ungdom velger yrkesfag og knyttes til framtidens arbeidsplasser.</t>
  </si>
  <si>
    <t>00040</t>
  </si>
  <si>
    <r>
      <rPr>
        <sz val="10"/>
        <rFont val="Arial"/>
        <family val="2"/>
      </rPr>
      <t xml:space="preserve">... organisasjoner i området om å søke om midler for å skape gode sommeropplevelser for barn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på Romerike .</t>
    </r>
  </si>
  <si>
    <t>Midler skal skape gode sommeropplevelser for barn og ungdom.</t>
  </si>
  <si>
    <t>00041</t>
  </si>
  <si>
    <r>
      <rPr>
        <sz val="10"/>
        <rFont val="Arial"/>
        <family val="2"/>
      </rPr>
      <t xml:space="preserve">En del av disse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har et veldig lite nettverk og få de kan be om hjelp . De trenger... </t>
    </r>
  </si>
  <si>
    <t>Ungdommene har lite nettverk og få å be om hjelp.</t>
  </si>
  <si>
    <t>00042</t>
  </si>
  <si>
    <r>
      <rPr>
        <sz val="10"/>
        <rFont val="Arial"/>
        <family val="2"/>
      </rPr>
      <t xml:space="preserve">Vi støtter rusreformen fordi vi ønsker at våre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skal møtes med hjelp om de får problemer med rus .... </t>
    </r>
  </si>
  <si>
    <t>Politisk begrunnelse for rusreform som hjelpetiltak; forvaltnings-/politikkspråk.</t>
  </si>
  <si>
    <t>00043</t>
  </si>
  <si>
    <r>
      <rPr>
        <sz val="10"/>
        <rFont val="Arial"/>
        <family val="2"/>
      </rPr>
      <t xml:space="preserve">... Indiske Kailash Satyarthi og 17 år gamle Malala Yousafzai fra Pakistan , for kampen mot undertrykkelsen av barn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... </t>
    </r>
  </si>
  <si>
    <t>Barn og ungdom omtales som ofre for undertrykkelse.</t>
  </si>
  <si>
    <t>00044</t>
  </si>
  <si>
    <r>
      <rPr>
        <sz val="10"/>
        <rFont val="Arial"/>
        <family val="2"/>
      </rPr>
      <t xml:space="preserve">Han snakker med hele kroppen , – dette engasjerer ham , og han er oppriktig glad for at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er... </t>
    </r>
  </si>
  <si>
    <t>Engasjert og oppriktig glede over ungdommene.</t>
  </si>
  <si>
    <t>00045</t>
  </si>
  <si>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og skogbruket viser vei</t>
    </r>
  </si>
  <si>
    <t>Ungdommen</t>
  </si>
  <si>
    <t>Overskrift: ungdommen «viser vei».</t>
  </si>
  <si>
    <t>00046</t>
  </si>
  <si>
    <r>
      <rPr>
        <sz val="10"/>
        <rFont val="Arial"/>
        <family val="2"/>
      </rPr>
      <t xml:space="preserve">– Jeg tror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har skjerpet seg litt nå . Men nå er det påskeferie , og da kan det... </t>
    </r>
  </si>
  <si>
    <t>Ungdommen «har skjerpet seg» – forutsetter tidligere problematferd og bekymring for ferien.</t>
  </si>
  <si>
    <t>00047</t>
  </si>
  <si>
    <r>
      <rPr>
        <sz val="10"/>
        <rFont val="Arial"/>
        <family val="2"/>
      </rPr>
      <t xml:space="preserve">... om tilgang på arbeidskraft i et marked der antall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er synkende , er det ingen tvil om at det... </t>
    </r>
  </si>
  <si>
    <t>Demografisk statistikk om synkende antall ungdommer i arbeidsmarkedet.</t>
  </si>
  <si>
    <t>00048</t>
  </si>
  <si>
    <r>
      <rPr>
        <sz val="10"/>
        <rFont val="Arial"/>
        <family val="2"/>
      </rPr>
      <t xml:space="preserve">... Eg tror ikke at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er stolte over dialekten her , fordi mange sier at de eldre snakker « dårlig norsk... </t>
    </r>
  </si>
  <si>
    <t>Omtale av ungdommens holdning til dialekt; ingen tydelig valør om ungdom.</t>
  </si>
  <si>
    <t>00049</t>
  </si>
  <si>
    <r>
      <rPr>
        <b/>
        <sz val="10"/>
        <rFont val="Arial"/>
        <family val="2"/>
      </rPr>
      <t>Ungdommenes</t>
    </r>
    <r>
      <rPr>
        <sz val="10"/>
        <rFont val="Arial"/>
        <family val="2"/>
      </rPr>
      <t xml:space="preserve"> beskrivelser gir innblikk i vanskelige tanker , følelser og erfaringer , slik som her :</t>
    </r>
  </si>
  <si>
    <t>Ungdommenes</t>
  </si>
  <si>
    <t>Ungdommenes beskrivelser gjelder vanskelige tanker, følelser og erfaringer.</t>
  </si>
  <si>
    <t>00050</t>
  </si>
  <si>
    <r>
      <rPr>
        <sz val="10"/>
        <rFont val="Arial"/>
        <family val="2"/>
      </rPr>
      <t xml:space="preserve">Ambulansen har tatt hånd om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på stedet .</t>
    </r>
  </si>
  <si>
    <t>Ambulanse måtte ta hånd om ungdommer på stedet.</t>
  </si>
  <si>
    <t>00051</t>
  </si>
  <si>
    <r>
      <rPr>
        <sz val="10"/>
        <rFont val="Arial"/>
        <family val="2"/>
      </rPr>
      <t xml:space="preserve">- De andre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skal blant annet ha kastet en sparkesykkel på guttens sykkel , forteller Groth .</t>
    </r>
  </si>
  <si>
    <t>Ungdommene skal ha kastet sparkesykkel på en gutts sykkel – voldshandling.</t>
  </si>
  <si>
    <t>00052</t>
  </si>
  <si>
    <r>
      <rPr>
        <sz val="10"/>
        <rFont val="Arial"/>
        <family val="2"/>
      </rPr>
      <t xml:space="preserve">Tap av søvn eller dårlig søvnkvalitet er et av de tidligste symptomene på psykiske utfordringer hos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( 1,2 )... </t>
    </r>
  </si>
  <si>
    <t>Søvnproblemer omtalt som tidlig symptom på psykiske utfordringer hos ungdom.</t>
  </si>
  <si>
    <t>00053</t>
  </si>
  <si>
    <r>
      <rPr>
        <sz val="10"/>
        <rFont val="Arial"/>
        <family val="2"/>
      </rPr>
      <t xml:space="preserve">... de sentrumsnære bydelene , blir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en dag , og jeg mener at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fortjener gode kulturtilbud og møteplasser i... </t>
    </r>
  </si>
  <si>
    <t>ungdommer, ungdommen</t>
  </si>
  <si>
    <t>Ungdommen «fortjener gode kulturtilbud og møteplasser».</t>
  </si>
  <si>
    <t>00054</t>
  </si>
  <si>
    <r>
      <rPr>
        <sz val="10"/>
        <rFont val="Arial"/>
        <family val="2"/>
      </rPr>
      <t xml:space="preserve">... tok like godt turen med fire voksne , en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og to barn . Etter å ha kjørt en del... </t>
    </r>
  </si>
  <si>
    <t>Ungdom nevnt som del av en reisefølge; ren faktabeskrivelse.</t>
  </si>
  <si>
    <t>00055</t>
  </si>
  <si>
    <r>
      <rPr>
        <sz val="10"/>
        <rFont val="Arial"/>
        <family val="2"/>
      </rPr>
      <t xml:space="preserve">Ifølge Medietilsynet valgte rundt én av tre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å ikke melde fra når noen skrev stygge kommentarer til dem på... </t>
    </r>
  </si>
  <si>
    <t>Statistikk om at én av tre ikke melder fra om stygge kommentarer – nettmobbing.</t>
  </si>
  <si>
    <t>00056</t>
  </si>
  <si>
    <r>
      <rPr>
        <sz val="10"/>
        <rFont val="Arial"/>
        <family val="2"/>
      </rPr>
      <t xml:space="preserve">– Har det skjedd noen endringer med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på de seks årene du har jobbet med dem ?</t>
    </r>
  </si>
  <si>
    <t>Åpent intervjuspørsmål om endringer; ingen valør knyttet til ungdommene.</t>
  </si>
  <si>
    <t>00057</t>
  </si>
  <si>
    <r>
      <rPr>
        <sz val="10"/>
        <rFont val="Arial"/>
        <family val="2"/>
      </rPr>
      <t xml:space="preserve">I snart ett og et halvt år har tusenvis av norske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vært nødt til å sette livene sine på... </t>
    </r>
  </si>
  <si>
    <t>Tusenvis av ungdommer har måttet sette livene sine på vent.</t>
  </si>
  <si>
    <t>00058</t>
  </si>
  <si>
    <r>
      <rPr>
        <sz val="10"/>
        <rFont val="Arial"/>
        <family val="2"/>
      </rPr>
      <t xml:space="preserve">Inspirasjonen til Hei-kampanjen kommer fra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som fortalte at et hei fra en klassekamerat kunne være forskjellen på å føle... </t>
    </r>
  </si>
  <si>
    <t>Ungdommers erfaringer inspirerte kampanje om inkludering.</t>
  </si>
  <si>
    <t>00059</t>
  </si>
  <si>
    <r>
      <rPr>
        <sz val="10"/>
        <rFont val="Arial"/>
        <family val="2"/>
      </rPr>
      <t xml:space="preserve">Greenpeace og Natur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har saksøkt staten for brudd på Grunnlovens miljøparagraf . Miljøorganisasjonene mener at tildelingen av nye... </t>
    </r>
  </si>
  <si>
    <t>Natur og Ungdom saksøker staten for brudd på miljøparagrafen – miljøengasjement.</t>
  </si>
  <si>
    <t>00060</t>
  </si>
  <si>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bør også få hjelp til selv å håndtere stress og utfordringer de opplever når familien sliter økonomisk .</t>
    </r>
  </si>
  <si>
    <t>Ungdom trenger hjelp til å håndtere stress når familien sliter økonomisk.</t>
  </si>
  <si>
    <t>00061</t>
  </si>
  <si>
    <r>
      <rPr>
        <sz val="10"/>
        <rFont val="Arial"/>
        <family val="2"/>
      </rPr>
      <t xml:space="preserve">... at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, som er tidlig i sin ruskarriere vil respondere adekvat på et frivillig hjelpetiltak . </t>
    </r>
    <r>
      <rPr>
        <b/>
        <sz val="10"/>
        <rFont val="Arial"/>
        <family val="2"/>
      </rPr>
      <t>Ungdommelig</t>
    </r>
    <r>
      <rPr>
        <sz val="10"/>
        <rFont val="Arial"/>
        <family val="2"/>
      </rPr>
      <t xml:space="preserve"> overmot og... </t>
    </r>
  </si>
  <si>
    <t>ungdom, Ungdommelig</t>
  </si>
  <si>
    <t>Ungdom omtales som tidlig i «ruskarriere» og med «ungdommelig overmot».</t>
  </si>
  <si>
    <t>00062</t>
  </si>
  <si>
    <r>
      <rPr>
        <sz val="10"/>
        <rFont val="Arial"/>
        <family val="2"/>
      </rPr>
      <t xml:space="preserve">... har opplevd både blant samisk , kvensk og norsk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i Finnmark . I 2021 bør vel frykten for komagtuppene... </t>
    </r>
  </si>
  <si>
    <t>Avkuttet; hva ungdommene har opplevd framgår ikke av tekstvinduet.</t>
  </si>
  <si>
    <t>00063</t>
  </si>
  <si>
    <r>
      <rPr>
        <sz val="10"/>
        <rFont val="Arial"/>
        <family val="2"/>
      </rPr>
      <t xml:space="preserve">– Jeg har altfor mange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som har droppet ut av skolen . Ingen fanger dem opp , advarer Glavin... </t>
    </r>
  </si>
  <si>
    <t>Altfor mange ungdommer har droppet ut av skolen og fanges ikke opp.</t>
  </si>
  <si>
    <t>00064</t>
  </si>
  <si>
    <r>
      <rPr>
        <sz val="10"/>
        <rFont val="Arial"/>
        <family val="2"/>
      </rPr>
      <t xml:space="preserve">... tenke kritisk ? Tør vi ikke stille krav til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om at de tenker over hvilke verdier som de selv... </t>
    </r>
  </si>
  <si>
    <t>Retorisk spørsmål om å stille krav til ungdommene; ingen tydelig valør om dem.</t>
  </si>
  <si>
    <t>00065</t>
  </si>
  <si>
    <r>
      <rPr>
        <sz val="10"/>
        <rFont val="Arial"/>
        <family val="2"/>
      </rPr>
      <t xml:space="preserve">« Aftenbladet fokuserer isolert på antallet saker der politiet blir tilkalt til situasjoner med truende barn og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, uten å... </t>
    </r>
  </si>
  <si>
    <t>Negativt adjektiv «truende» om barn og ungdommer politiet tilkalles til.</t>
  </si>
  <si>
    <t>00066</t>
  </si>
  <si>
    <r>
      <rPr>
        <sz val="10"/>
        <rFont val="Arial"/>
        <family val="2"/>
      </rPr>
      <t xml:space="preserve">Slike forhold meiner von Soest er ein indikasjon på at vi må sjå på korleis vi hjelper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, og... </t>
    </r>
  </si>
  <si>
    <t>Forholdene indikerer at hjelpen til ungdom svikter.</t>
  </si>
  <si>
    <t>00067</t>
  </si>
  <si>
    <r>
      <rPr>
        <sz val="10"/>
        <rFont val="Arial"/>
        <family val="2"/>
      </rPr>
      <t xml:space="preserve">Hun er styreleder i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mot Narkotika , som jobber med å forebygge bruk av narkotika blant unge .</t>
    </r>
  </si>
  <si>
    <t>Saklig beskrivelse av Ungdom mot Narkotikas forebyggende arbeid.</t>
  </si>
  <si>
    <t>00068</t>
  </si>
  <si>
    <r>
      <rPr>
        <sz val="10"/>
        <rFont val="Arial"/>
        <family val="2"/>
      </rPr>
      <t xml:space="preserve">– Jeg er imponert over den store og grundige jobben </t>
    </r>
    <r>
      <rPr>
        <b/>
        <sz val="10"/>
        <rFont val="Arial"/>
        <family val="2"/>
      </rPr>
      <t>Ungdommens</t>
    </r>
    <r>
      <rPr>
        <sz val="10"/>
        <rFont val="Arial"/>
        <family val="2"/>
      </rPr>
      <t xml:space="preserve"> distriktspanel har gjort . Rådene gir et godt bilde... </t>
    </r>
  </si>
  <si>
    <t>«Imponert over den store og grundige jobben» Ungdommens distriktspanel har gjort.</t>
  </si>
  <si>
    <t>00069</t>
  </si>
  <si>
    <r>
      <rPr>
        <sz val="10"/>
        <rFont val="Arial"/>
        <family val="2"/>
      </rPr>
      <t xml:space="preserve">... god , og vi vet at de fleste norske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har det bra og trives . Norge er på topp... </t>
    </r>
  </si>
  <si>
    <t>Positiv statistikk: de fleste norske ungdommer har det bra og trives.</t>
  </si>
  <si>
    <t>00070</t>
  </si>
  <si>
    <r>
      <rPr>
        <sz val="10"/>
        <rFont val="Arial"/>
        <family val="2"/>
      </rPr>
      <t xml:space="preserve">... Her finner også du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fra ulike bydeler og med ulike interesser sammen i et unikt sosialt miljø .</t>
    </r>
  </si>
  <si>
    <t>Ungdom fra ulike bydeler samles i «et unikt sosialt miljø».</t>
  </si>
  <si>
    <t>00071</t>
  </si>
  <si>
    <r>
      <rPr>
        <sz val="10"/>
        <rFont val="Arial"/>
        <family val="2"/>
      </rPr>
      <t xml:space="preserve">... hun navigerer mellom arbeid og romantikk i New York City – ofte med usikkerheten fra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boblende under overflaten .</t>
    </r>
  </si>
  <si>
    <t>«Usikkerheten fra ungdommen» – retrospektiv omtale av en figurs egen ungdomstid.</t>
  </si>
  <si>
    <t>00072</t>
  </si>
  <si>
    <r>
      <rPr>
        <sz val="10"/>
        <rFont val="Arial"/>
        <family val="2"/>
      </rPr>
      <t xml:space="preserve">... låten « Digi-Mareritt » , fremført med glimt i øyet og </t>
    </r>
    <r>
      <rPr>
        <b/>
        <sz val="10"/>
        <rFont val="Arial"/>
        <family val="2"/>
      </rPr>
      <t>ungdommelig</t>
    </r>
    <r>
      <rPr>
        <sz val="10"/>
        <rFont val="Arial"/>
        <family val="2"/>
      </rPr>
      <t xml:space="preserve"> bravur og frekkhet . Hvor bevisst har du vært i... </t>
    </r>
  </si>
  <si>
    <t>ungdommelig</t>
  </si>
  <si>
    <t>«Ungdommelig bravur» brukt om et musikalsk uttrykk; ingen ung person identifisert.</t>
  </si>
  <si>
    <t>00073</t>
  </si>
  <si>
    <r>
      <rPr>
        <sz val="10"/>
        <rFont val="Arial"/>
        <family val="2"/>
      </rPr>
      <t xml:space="preserve">... De har heller lagt til rette for at kriminaliteten kan øke og salget kan øke ved at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over 18... </t>
    </r>
  </si>
  <si>
    <t>Ungdommer knyttet til økt kriminalitet og salg.</t>
  </si>
  <si>
    <t>00074</t>
  </si>
  <si>
    <r>
      <rPr>
        <sz val="10"/>
        <rFont val="Arial"/>
        <family val="2"/>
      </rPr>
      <t xml:space="preserve">Hvilke verdier og idealer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er opptatt av er naturligvis påvirket av samfunnet og kulturen de lever i . I... </t>
    </r>
  </si>
  <si>
    <t>Faglig/sosiologisk omtale av hva som påvirker ungdoms verdier.</t>
  </si>
  <si>
    <t>00075</t>
  </si>
  <si>
    <r>
      <rPr>
        <sz val="10"/>
        <rFont val="Arial"/>
        <family val="2"/>
      </rPr>
      <t xml:space="preserve">... delta på valgkampskolering gjennom Sosialistisk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( SU ) . Hun og de andre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hørte eksplosjonen fra Regjeringskvartalene ,... </t>
    </r>
  </si>
  <si>
    <t>ungdom, ungdommene</t>
  </si>
  <si>
    <t>Ungdommer på SU-skolering hørte eksplosjonen i Regjeringskvartalet – ofre for terror.</t>
  </si>
  <si>
    <t>00076</t>
  </si>
  <si>
    <r>
      <rPr>
        <sz val="10"/>
        <rFont val="Arial"/>
        <family val="2"/>
      </rPr>
      <t xml:space="preserve">... Vi legger derfor inn midler til å øke innsatsen for å sikre at disse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ikke blir værende der .... </t>
    </r>
  </si>
  <si>
    <t>Midler skal sikre at ungdommene ikke blir værende i en uønsket situasjon.</t>
  </si>
  <si>
    <t>00077</t>
  </si>
  <si>
    <r>
      <rPr>
        <sz val="10"/>
        <rFont val="Arial"/>
        <family val="2"/>
      </rPr>
      <t xml:space="preserve">Barn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har så mye humor , og det å bruke humor er viktig i en sånn hverdag .... </t>
    </r>
  </si>
  <si>
    <t>«Barn og ungdom har så mye humor» – positiv egenskap.</t>
  </si>
  <si>
    <t>00078</t>
  </si>
  <si>
    <r>
      <rPr>
        <sz val="10"/>
        <rFont val="Arial"/>
        <family val="2"/>
      </rPr>
      <t xml:space="preserve">— Legger mer stress på </t>
    </r>
    <r>
      <rPr>
        <b/>
        <sz val="10"/>
        <rFont val="Arial"/>
        <family val="2"/>
      </rPr>
      <t>ungdom</t>
    </r>
  </si>
  <si>
    <t>Overskrift: «Legger mer stress på ungdom».</t>
  </si>
  <si>
    <t>00079</t>
  </si>
  <si>
    <r>
      <rPr>
        <sz val="10"/>
        <rFont val="Arial"/>
        <family val="2"/>
      </rPr>
      <t xml:space="preserve">Som tidligere beskrevet forklarer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at økt tidsbruk på sosiale og digitale medier ofte skyldes gruppepress knyttet til alltid å... </t>
    </r>
  </si>
  <si>
    <t>Ungdoms medietidsbruk forklares med gruppepress.</t>
  </si>
  <si>
    <t>00080</t>
  </si>
  <si>
    <r>
      <rPr>
        <sz val="10"/>
        <rFont val="Arial"/>
        <family val="2"/>
      </rPr>
      <t xml:space="preserve">... Protestbevegelsen har vært preget av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, og også Sadrs støttespillere har vært blant dem .</t>
    </r>
  </si>
  <si>
    <t>Beskrivelse av at protestbevegelsen er preget av ungdom; ingen valør.</t>
  </si>
  <si>
    <t>00081</t>
  </si>
  <si>
    <r>
      <rPr>
        <sz val="10"/>
        <rFont val="Arial"/>
        <family val="2"/>
      </rPr>
      <t xml:space="preserve">... En god del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savner gode tilbud , og det er også store sosiale forskjeller i hvor fornøyd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er... </t>
    </r>
  </si>
  <si>
    <t>ungdommer, ungdommene</t>
  </si>
  <si>
    <t>Ungdommer savner tilbud, og det er store sosiale forskjeller i hvor fornøyde de er.</t>
  </si>
  <si>
    <t>00082</t>
  </si>
  <si>
    <r>
      <rPr>
        <sz val="10"/>
        <rFont val="Arial"/>
        <family val="2"/>
      </rPr>
      <t xml:space="preserve">... stenge ute det umoralske og grusomme ved å drepe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og barn og dyrke sine egne ekstreme verdier . Narsissistisk... </t>
    </r>
  </si>
  <si>
    <t>Ungdom og barn omtalt som ofre for drap.</t>
  </si>
  <si>
    <t>00083</t>
  </si>
  <si>
    <r>
      <rPr>
        <sz val="10"/>
        <rFont val="Arial"/>
        <family val="2"/>
      </rPr>
      <t xml:space="preserve">– Men </t>
    </r>
    <r>
      <rPr>
        <b/>
        <sz val="10"/>
        <rFont val="Arial"/>
        <family val="2"/>
      </rPr>
      <t>ungdommenes</t>
    </r>
    <r>
      <rPr>
        <sz val="10"/>
        <rFont val="Arial"/>
        <family val="2"/>
      </rPr>
      <t xml:space="preserve"> valg og handlinger står dessverre også helt sentralt i denne saken , sa Frimannslund , som mente... </t>
    </r>
  </si>
  <si>
    <t>Ungdommenes valg og handlinger «står dessverre sentralt» – skyldplassering.</t>
  </si>
  <si>
    <t>00084</t>
  </si>
  <si>
    <r>
      <rPr>
        <sz val="10"/>
        <rFont val="Arial"/>
        <family val="2"/>
      </rPr>
      <t xml:space="preserve">... Veidekke håper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i større grad legger egne interesser og motivasjon til grunn for sine valg , og at flere... </t>
    </r>
  </si>
  <si>
    <t>Ønske om at ungdommene vektlegger egne interesser i yrkesvalg; ingen tydelig valør.</t>
  </si>
  <si>
    <t>00085</t>
  </si>
  <si>
    <r>
      <rPr>
        <sz val="10"/>
        <rFont val="Arial"/>
        <family val="2"/>
      </rPr>
      <t xml:space="preserve">... I åtte år har regjeringen jobbet systematisk med å få flere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til å fullføre videregående skole . Over 47... </t>
    </r>
  </si>
  <si>
    <t>Flere ungdommer fullfører videregående skole.</t>
  </si>
  <si>
    <t>00086</t>
  </si>
  <si>
    <r>
      <rPr>
        <sz val="10"/>
        <rFont val="Arial"/>
        <family val="2"/>
      </rPr>
      <t xml:space="preserve">Skammelig lite respekt for </t>
    </r>
    <r>
      <rPr>
        <b/>
        <sz val="10"/>
        <rFont val="Arial"/>
        <family val="2"/>
      </rPr>
      <t>ungdom</t>
    </r>
  </si>
  <si>
    <t>Overskrift om at ungdom møtes med «skammelig lite respekt».</t>
  </si>
  <si>
    <t>00087</t>
  </si>
  <si>
    <r>
      <rPr>
        <sz val="10"/>
        <rFont val="Arial"/>
        <family val="2"/>
      </rPr>
      <t xml:space="preserve">Line Starheimsæter ( 36 ) har holdt på med teater siden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. Hun kommer fra Sykkylven , og bor... </t>
    </r>
  </si>
  <si>
    <t>«Siden ungdommen» – retrospektiv biografisk detalj om en 36-åring.</t>
  </si>
  <si>
    <t>00088</t>
  </si>
  <si>
    <r>
      <rPr>
        <sz val="10"/>
        <rFont val="Arial"/>
        <family val="2"/>
      </rPr>
      <t xml:space="preserve">... Politiet mottok natt til søndag melding om at en større ansamling av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bråket og ikke opprettholdt orden ved og... </t>
    </r>
  </si>
  <si>
    <t>Ansamling av ungdommer bråket og opprettholdt ikke orden.</t>
  </si>
  <si>
    <t>00089</t>
  </si>
  <si>
    <r>
      <rPr>
        <sz val="10"/>
        <rFont val="Arial"/>
        <family val="2"/>
      </rPr>
      <t xml:space="preserve">Formann i Fremskrittpartiets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( FPU ) , Andreas Brännström , synes det er veldig bra at Frp kjemper for... </t>
    </r>
  </si>
  <si>
    <t>FPU-formann uttaler seg om partiets politikk; ingen framstilling av ungdom.</t>
  </si>
  <si>
    <t>00090</t>
  </si>
  <si>
    <r>
      <rPr>
        <b/>
        <sz val="10"/>
        <rFont val="Arial"/>
        <family val="2"/>
      </rPr>
      <t>Ungdommens</t>
    </r>
    <r>
      <rPr>
        <sz val="10"/>
        <rFont val="Arial"/>
        <family val="2"/>
      </rPr>
      <t xml:space="preserve"> kritikerpris nominerte</t>
    </r>
  </si>
  <si>
    <t>Ren opplisting av nominerte til Ungdommens kritikerpris.</t>
  </si>
  <si>
    <t>00091</t>
  </si>
  <si>
    <r>
      <rPr>
        <sz val="10"/>
        <rFont val="Arial"/>
        <family val="2"/>
      </rPr>
      <t xml:space="preserve">... som kan bidra til å forklare tannhelserelatert atferd blant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. Her kan man blant annet se til tidligere forskning... </t>
    </r>
  </si>
  <si>
    <t>Faglig omtale av forskning på tannhelserelatert atferd blant ungdom.</t>
  </si>
  <si>
    <t>00092</t>
  </si>
  <si>
    <r>
      <rPr>
        <sz val="10"/>
        <rFont val="Arial"/>
        <family val="2"/>
      </rPr>
      <t xml:space="preserve">Med </t>
    </r>
    <r>
      <rPr>
        <b/>
        <sz val="10"/>
        <rFont val="Arial"/>
        <family val="2"/>
      </rPr>
      <t>ungdommelig</t>
    </r>
    <r>
      <rPr>
        <sz val="10"/>
        <rFont val="Arial"/>
        <family val="2"/>
      </rPr>
      <t xml:space="preserve"> glød og engasjement står Anneli Velle Opsahl ( 13 ) på scenen som hovedtaler under 17. mai-feiringen i... </t>
    </r>
  </si>
  <si>
    <t>«Ungdommelig glød og engasjement» om navngitt 13-åring som hovedtaler.</t>
  </si>
  <si>
    <t>00093</t>
  </si>
  <si>
    <r>
      <rPr>
        <sz val="10"/>
        <rFont val="Arial"/>
        <family val="2"/>
      </rPr>
      <t xml:space="preserve">... Kva som er ønska av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, er tydeleg : ta utdanning og vær førebudd på å stadig måtte forbetre... </t>
    </r>
  </si>
  <si>
    <t>Beskrivelse av hvilke forventninger som stilles til ungdommen.</t>
  </si>
  <si>
    <t>00094</t>
  </si>
  <si>
    <r>
      <rPr>
        <sz val="10"/>
        <rFont val="Arial"/>
        <family val="2"/>
      </rPr>
      <t xml:space="preserve">... Se </t>
    </r>
    <r>
      <rPr>
        <b/>
        <sz val="10"/>
        <rFont val="Arial"/>
        <family val="2"/>
      </rPr>
      <t>ungdommenes</t>
    </r>
    <r>
      <rPr>
        <sz val="10"/>
        <rFont val="Arial"/>
        <family val="2"/>
      </rPr>
      <t xml:space="preserve"> åtte videoreportasjer her !</t>
    </r>
  </si>
  <si>
    <t>Ungdommene har laget åtte videoreportasjer – egen produksjon.</t>
  </si>
  <si>
    <t>00095</t>
  </si>
  <si>
    <r>
      <rPr>
        <sz val="10"/>
        <rFont val="Arial"/>
        <family val="2"/>
      </rPr>
      <t xml:space="preserve">... Det private foretaket har siden i 2008 arbeidet med å utvikle et forskningsbasert behandlingssystem som skal hjelpe barn og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... </t>
    </r>
  </si>
  <si>
    <t>Saklig omtale av et behandlingssystem for barn og ungdom; ingen tilstand navngitt.</t>
  </si>
  <si>
    <t>00096</t>
  </si>
  <si>
    <r>
      <rPr>
        <sz val="10"/>
        <rFont val="Arial"/>
        <family val="2"/>
      </rPr>
      <t xml:space="preserve">... Det får han en mulighet til nå gjennom MOT ved å bevisstgjøre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. Daniel er kjempeviktig og vi er... </t>
    </r>
  </si>
  <si>
    <t>MOT-arbeid rettet mot å bevisstgjøre ungdom.</t>
  </si>
  <si>
    <t>00097</t>
  </si>
  <si>
    <r>
      <rPr>
        <sz val="10"/>
        <rFont val="Arial"/>
        <family val="2"/>
      </rPr>
      <t xml:space="preserve">Vi trenger også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i andre yrker , som bygningsarbeidere , lærere og ingeniører . Kampen om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er stor... </t>
    </r>
  </si>
  <si>
    <t>ungdom, ungdommen</t>
  </si>
  <si>
    <t>Ungdom er etterspurt arbeidskraft; «kampen om ungdommen er stor».</t>
  </si>
  <si>
    <t>00098</t>
  </si>
  <si>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er framtiden . Dette er signaler vi må ta på alvor . Vi har et ansvar for å gi... </t>
    </r>
  </si>
  <si>
    <t>«Ungdommen er framtiden» – klassisk positiv framstilling.</t>
  </si>
  <si>
    <t>00099</t>
  </si>
  <si>
    <r>
      <rPr>
        <sz val="10"/>
        <rFont val="Arial"/>
        <family val="2"/>
      </rPr>
      <t xml:space="preserve">... viktig fordi jeg kan bidra til å fremme andre </t>
    </r>
    <r>
      <rPr>
        <b/>
        <sz val="10"/>
        <rFont val="Arial"/>
        <family val="2"/>
      </rPr>
      <t>ungdommers</t>
    </r>
    <r>
      <rPr>
        <sz val="10"/>
        <rFont val="Arial"/>
        <family val="2"/>
      </rPr>
      <t xml:space="preserve"> utdanning med å gi en av dag av utdanningen min... </t>
    </r>
  </si>
  <si>
    <t>ungdommers</t>
  </si>
  <si>
    <t>Ungdom bidrar til å fremme andre ungdommers utdanning.</t>
  </si>
  <si>
    <t>00100</t>
  </si>
  <si>
    <r>
      <rPr>
        <sz val="10"/>
        <rFont val="Arial"/>
        <family val="2"/>
      </rPr>
      <t xml:space="preserve">Når det kommer til handling så synes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at klimaendringene først og fremst må løses internasjonalt , gjennom samarbeid og... </t>
    </r>
  </si>
  <si>
    <t>Gjengivelse av ungdoms synspunkter i en undersøkelse om klimatiltak.</t>
  </si>
  <si>
    <t>00101</t>
  </si>
  <si>
    <r>
      <rPr>
        <sz val="10"/>
        <rFont val="Arial"/>
        <family val="2"/>
      </rPr>
      <t xml:space="preserve">... Dette var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som ble frarøvet framtida som følge av makroøkonomiske forhold og laber oppfølging fra det offentlige .</t>
    </r>
  </si>
  <si>
    <t>Ungdom «frarøvet framtida» av makroøkonomi og laber offentlig oppfølging.</t>
  </si>
  <si>
    <t>00102</t>
  </si>
  <si>
    <r>
      <rPr>
        <sz val="10"/>
        <rFont val="Arial"/>
        <family val="2"/>
      </rPr>
      <t xml:space="preserve">« Å fullføre VGO gir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og voksne frihet til å velge sin vei videre i livet . Hvis flere fullfører... </t>
    </r>
  </si>
  <si>
    <t>Fullført videregående gir ungdom frihet til å velge sin vei videre.</t>
  </si>
  <si>
    <t>00103</t>
  </si>
  <si>
    <r>
      <rPr>
        <sz val="10"/>
        <rFont val="Arial"/>
        <family val="2"/>
      </rPr>
      <t xml:space="preserve">... er ei dedikert gruppe som må jagast heim om ettermiddagane.Ungdomsklubben har vore full denne veka med vel 25 </t>
    </r>
    <r>
      <rPr>
        <b/>
        <sz val="10"/>
        <rFont val="Arial"/>
        <family val="2"/>
      </rPr>
      <t>ungdommar</t>
    </r>
    <r>
      <rPr>
        <sz val="10"/>
        <rFont val="Arial"/>
        <family val="2"/>
      </rPr>
      <t xml:space="preserve"> .</t>
    </r>
  </si>
  <si>
    <t>ungdommar</t>
  </si>
  <si>
    <t>Full ungdomsklubb med en dedikert gruppe som må jages hjem.</t>
  </si>
  <si>
    <t>00104</t>
  </si>
  <si>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som hadde finni fram fordi de tilfeldigvis hang seg på noen andre som visste om den alternative inngangen ,... </t>
    </r>
  </si>
  <si>
    <t>Ungdommene</t>
  </si>
  <si>
    <t>Fortellende beskrivelse av ungdommer som fant en alternativ inngang.</t>
  </si>
  <si>
    <t>00105</t>
  </si>
  <si>
    <r>
      <rPr>
        <sz val="10"/>
        <rFont val="Arial"/>
        <family val="2"/>
      </rPr>
      <t xml:space="preserve">Hun er ikke overrasket over at en liten gruppe norsk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med navn som indikerer at foreldrene har kulturelle røtter... </t>
    </r>
  </si>
  <si>
    <t>Avkuttet; hva gruppen ungdom har gjort framgår ikke av tekstvinduet.</t>
  </si>
  <si>
    <t>00106</t>
  </si>
  <si>
    <r>
      <rPr>
        <sz val="10"/>
        <rFont val="Arial"/>
        <family val="2"/>
      </rPr>
      <t xml:space="preserve">Lykkes vi med at ulike og uenige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lytter til hverandres meninger og historier , kan vi forhåpentlig forebygge noe... </t>
    </r>
  </si>
  <si>
    <t>Uenige ungdommer lytter til hverandre – dialog og forebygging.</t>
  </si>
  <si>
    <t>00107</t>
  </si>
  <si>
    <r>
      <rPr>
        <sz val="10"/>
        <rFont val="Arial"/>
        <family val="2"/>
      </rPr>
      <t xml:space="preserve">Utlysningen er inspirert av prosjektet « Oppdrag 31 » , hvor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fra hele landet deltok med innspill og kunnskap om hvordan... </t>
    </r>
  </si>
  <si>
    <t>Ungdom fra hele landet deltok med innspill og kunnskap.</t>
  </si>
  <si>
    <t>00108</t>
  </si>
  <si>
    <r>
      <rPr>
        <sz val="10"/>
        <rFont val="Arial"/>
        <family val="2"/>
      </rPr>
      <t xml:space="preserve">Det som er farlig er dersom stigmatisering og skam gjør at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og minoriteter blir redde for å teste seg... </t>
    </r>
  </si>
  <si>
    <t>Stigmatisering og skam gjør ungdom redde for å teste seg.</t>
  </si>
  <si>
    <t>00109</t>
  </si>
  <si>
    <r>
      <rPr>
        <sz val="10"/>
        <rFont val="Arial"/>
        <family val="2"/>
      </rPr>
      <t xml:space="preserve">Hun mener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ikke endret oppførsel da de selv kom hjem .</t>
    </r>
  </si>
  <si>
    <t>Hvilken oppførsel det siktes til framgår ikke av tekstvinduet.</t>
  </si>
  <si>
    <t>00110</t>
  </si>
  <si>
    <r>
      <rPr>
        <sz val="10"/>
        <rFont val="Arial"/>
        <family val="2"/>
      </rPr>
      <t xml:space="preserve">– Dette skjer delvis fordi foreldrene og </t>
    </r>
    <r>
      <rPr>
        <b/>
        <sz val="10"/>
        <rFont val="Arial"/>
        <family val="2"/>
      </rPr>
      <t>ungdommens</t>
    </r>
    <r>
      <rPr>
        <sz val="10"/>
        <rFont val="Arial"/>
        <family val="2"/>
      </rPr>
      <t xml:space="preserve"> mål er det samme , nemlig at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skal få gode jobber... </t>
    </r>
  </si>
  <si>
    <t>ungdommens, ungdommen</t>
  </si>
  <si>
    <t>Beskrivelse av sammenfallende mål mellom foreldre og ungdom om jobb.</t>
  </si>
  <si>
    <t>00111</t>
  </si>
  <si>
    <r>
      <rPr>
        <sz val="10"/>
        <rFont val="Arial"/>
        <family val="2"/>
      </rPr>
      <t xml:space="preserve">... Man ønsker her å prioritere møtested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.</t>
    </r>
  </si>
  <si>
    <t>Møtested for ungdom prioriteres.</t>
  </si>
  <si>
    <t>00112</t>
  </si>
  <si>
    <r>
      <rPr>
        <sz val="10"/>
        <rFont val="Arial"/>
        <family val="2"/>
      </rPr>
      <t xml:space="preserve">... For 15 år siden var det nok vanskelig for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på Flå og se for seg hva slags jobber man... </t>
    </r>
  </si>
  <si>
    <t>Historisk beskrivelse av jobbutsikter for ungdommen på stedet.</t>
  </si>
  <si>
    <t>00113</t>
  </si>
  <si>
    <r>
      <rPr>
        <sz val="10"/>
        <rFont val="Arial"/>
        <family val="2"/>
      </rPr>
      <t xml:space="preserve">... med debatten er hvordan vi skal sørge for at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våre har en sunn helse , er trygge på seg... </t>
    </r>
  </si>
  <si>
    <t>Mål om at ungdommene skal ha sunn helse og være trygge på seg selv.</t>
  </si>
  <si>
    <t>00114</t>
  </si>
  <si>
    <r>
      <rPr>
        <sz val="10"/>
        <rFont val="Arial"/>
        <family val="2"/>
      </rPr>
      <t xml:space="preserve">... natteravn i byen har hun ikke vært borti situasjoner som det vi har sett blant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de siste ukene .</t>
    </r>
  </si>
  <si>
    <t>Viser til situasjoner man har sett «blant ungdom de siste ukene» – problematferd.</t>
  </si>
  <si>
    <t>00115</t>
  </si>
  <si>
    <t>00116</t>
  </si>
  <si>
    <r>
      <rPr>
        <sz val="10"/>
        <rFont val="Arial"/>
        <family val="2"/>
      </rPr>
      <t xml:space="preserve">... Dette gjelder for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på ungdomsskoletrinnet , fra 8. klasse og oppover .</t>
    </r>
  </si>
  <si>
    <t>Ren aldersavgrensning av hvem ordningen gjelder for.</t>
  </si>
  <si>
    <t>00117</t>
  </si>
  <si>
    <r>
      <rPr>
        <sz val="10"/>
        <rFont val="Arial"/>
        <family val="2"/>
      </rPr>
      <t xml:space="preserve">... rodde fiske i åpen båt i en årrekke som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– som kranglet seg til en lærerutdanning , og som... </t>
    </r>
  </si>
  <si>
    <t>«Som ungdom» – retrospektiv biografisk detalj i et portrett.</t>
  </si>
  <si>
    <t>00118</t>
  </si>
  <si>
    <r>
      <rPr>
        <sz val="10"/>
        <rFont val="Arial"/>
        <family val="2"/>
      </rPr>
      <t xml:space="preserve">Stilte opp for russen : – Vi skal ta vare på flotte </t>
    </r>
    <r>
      <rPr>
        <b/>
        <sz val="10"/>
        <rFont val="Arial"/>
        <family val="2"/>
      </rPr>
      <t>ungdommer</t>
    </r>
  </si>
  <si>
    <t>Eksplisitt positivt adjektiv: «flotte ungdommer».</t>
  </si>
  <si>
    <t>00119</t>
  </si>
  <si>
    <r>
      <rPr>
        <sz val="10"/>
        <rFont val="Arial"/>
        <family val="2"/>
      </rPr>
      <t xml:space="preserve">... 16-18 år som snakker om dagligdagse temaer , for å finne ut hvordan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snakker i trønderhovedstaden i dag .</t>
    </r>
  </si>
  <si>
    <t>Språkfaglig undersøkelse av hvordan ungdom snakker.</t>
  </si>
  <si>
    <t>00120</t>
  </si>
  <si>
    <r>
      <rPr>
        <sz val="10"/>
        <rFont val="Arial"/>
        <family val="2"/>
      </rPr>
      <t xml:space="preserve">... har søkt , og fått innvilget åtte ukelønner på 7000 kroner hver , som de kan bruke på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.</t>
    </r>
  </si>
  <si>
    <t>Innvilgede midler skal brukes på ungdom.</t>
  </si>
  <si>
    <t>00121</t>
  </si>
  <si>
    <r>
      <rPr>
        <sz val="10"/>
        <rFont val="Arial"/>
        <family val="2"/>
      </rPr>
      <t xml:space="preserve">... Bydelen har også erfart at det ofte er lettere å rekruttere nye barn og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til aktiviteter når de foregår... </t>
    </r>
  </si>
  <si>
    <t>Lettere å rekruttere barn og ungdommer til aktiviteter.</t>
  </si>
  <si>
    <t>00122</t>
  </si>
  <si>
    <r>
      <rPr>
        <sz val="10"/>
        <rFont val="Arial"/>
        <family val="2"/>
      </rPr>
      <t xml:space="preserve">– Det er viktig at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tar fagutdanning innan mekaniske fag for at me skal kunne oppretthalde ei god verftsnæring... </t>
    </r>
  </si>
  <si>
    <t>Ungdom som tar fagutdanning framheves som viktig for næringen.</t>
  </si>
  <si>
    <t>00123</t>
  </si>
  <si>
    <r>
      <rPr>
        <sz val="10"/>
        <rFont val="Arial"/>
        <family val="2"/>
      </rPr>
      <t xml:space="preserve">... Vi følger ikke etter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når de ikke godtar det . Vi lykkes stort sett over tid med å skape... </t>
    </r>
  </si>
  <si>
    <t>Beskrivelse av arbeidsmetode i oppsøkende arbeid; ingen valør om ungdommene.</t>
  </si>
  <si>
    <t>00124</t>
  </si>
  <si>
    <r>
      <rPr>
        <sz val="10"/>
        <rFont val="Arial"/>
        <family val="2"/>
      </rPr>
      <t xml:space="preserve">... flere lokale organisasjoner og bedrifter som i høstferien har samarbeidet med Bydel Sagene for å gi lokal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jobberfaring .</t>
    </r>
  </si>
  <si>
    <t>Lokal ungdom får jobberfaring gjennom samarbeid med bydelen.</t>
  </si>
  <si>
    <t>00125</t>
  </si>
  <si>
    <r>
      <rPr>
        <sz val="10"/>
        <rFont val="Arial"/>
        <family val="2"/>
      </rPr>
      <t xml:space="preserve">Hjelpeløse </t>
    </r>
    <r>
      <rPr>
        <b/>
        <sz val="10"/>
        <rFont val="Arial"/>
        <family val="2"/>
      </rPr>
      <t>ungdommer</t>
    </r>
  </si>
  <si>
    <t>Overskrift med negativt adjektiv: «Hjelpeløse ungdommer».</t>
  </si>
  <si>
    <t>00126</t>
  </si>
  <si>
    <r>
      <rPr>
        <sz val="10"/>
        <rFont val="Arial"/>
        <family val="2"/>
      </rPr>
      <t xml:space="preserve">– Det er løse , sammensatte nettverk av småkriminelle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som har utviklet seg til å bli veldig voldelige .... </t>
    </r>
  </si>
  <si>
    <t>Nettverk av «småkriminelle» ungdommer som er blitt «veldig voldelige».</t>
  </si>
  <si>
    <t>00127</t>
  </si>
  <si>
    <r>
      <rPr>
        <sz val="10"/>
        <rFont val="Arial"/>
        <family val="2"/>
      </rPr>
      <t xml:space="preserve">Barn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opplever fortsatt mye smerte fordi helsepersonell undervurderer barnets smerter og ikke benytter kartleggingsverktøy . Systematisk smertevurdering er... </t>
    </r>
  </si>
  <si>
    <t>Barn og ungdom opplever mye smerte som helsepersonell undervurderer.</t>
  </si>
  <si>
    <t>00128</t>
  </si>
  <si>
    <r>
      <rPr>
        <sz val="10"/>
        <rFont val="Arial"/>
        <family val="2"/>
      </rPr>
      <t xml:space="preserve">... Nattevandrerordningen kan virke forebyggende på bråk i bybildet , så kontakten de voksne får med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har en viktig funksjon... </t>
    </r>
  </si>
  <si>
    <t>Ungdommen knyttes til bråk i bybildet som nattevandring skal forebygge.</t>
  </si>
  <si>
    <t>00129</t>
  </si>
  <si>
    <r>
      <rPr>
        <sz val="10"/>
        <rFont val="Arial"/>
        <family val="2"/>
      </rPr>
      <t xml:space="preserve">– Langs hele kysten ser vi nå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som vil inn , men som ikke har råd . Den offentlige... </t>
    </r>
  </si>
  <si>
    <t>Ungdom som vil inn i næringen har ikke råd.</t>
  </si>
  <si>
    <t>00130</t>
  </si>
  <si>
    <r>
      <rPr>
        <sz val="10"/>
        <rFont val="Arial"/>
        <family val="2"/>
      </rPr>
      <t xml:space="preserve">... I tillegg er han sentralstyremedlem i Europeisk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og nyvalgt sentralstyremedlem i Norsk studentorganisasjon ( NSO ) .</t>
    </r>
  </si>
  <si>
    <t>Ren opplysning om verv i Europeisk Ungdom og NSO.</t>
  </si>
  <si>
    <t>00131</t>
  </si>
  <si>
    <r>
      <rPr>
        <sz val="10"/>
        <rFont val="Arial"/>
        <family val="2"/>
      </rPr>
      <t xml:space="preserve">... , der mange av de reisende er skoleungdommer .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og barn er spesielt utsatte for tiden , og før... </t>
    </r>
  </si>
  <si>
    <t>Negativt adjektiv «utsatte» om ungdom og barn som gruppe.</t>
  </si>
  <si>
    <t>00132</t>
  </si>
  <si>
    <r>
      <rPr>
        <sz val="10"/>
        <rFont val="Arial"/>
        <family val="2"/>
      </rPr>
      <t xml:space="preserve">Michael Haneke håndterer både en konservativ filmfortellerstil og et mer moderne , </t>
    </r>
    <r>
      <rPr>
        <b/>
        <sz val="10"/>
        <rFont val="Arial"/>
        <family val="2"/>
      </rPr>
      <t>ungdommelig</t>
    </r>
    <r>
      <rPr>
        <sz val="10"/>
        <rFont val="Arial"/>
        <family val="2"/>
      </rPr>
      <t xml:space="preserve"> billedspråk . Han bruker til dels langsomme... </t>
    </r>
  </si>
  <si>
    <t>«Ungdommelig billedspråk» om en films visuelle stil; ingen ung person involvert.</t>
  </si>
  <si>
    <t>00133</t>
  </si>
  <si>
    <r>
      <rPr>
        <sz val="10"/>
        <rFont val="Arial"/>
        <family val="2"/>
      </rPr>
      <t xml:space="preserve">Herlige , kloke , impulsive , reflekterte , artige og nydelig fine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.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som skal oppleve den altoppslukende... </t>
    </r>
  </si>
  <si>
    <t>ungdommer, Ungdommer</t>
  </si>
  <si>
    <t>Rekke av positive adjektiver: «herlige, kloke, reflekterte, nydelig fine».</t>
  </si>
  <si>
    <t>00134</t>
  </si>
  <si>
    <r>
      <rPr>
        <sz val="10"/>
        <rFont val="Arial"/>
        <family val="2"/>
      </rPr>
      <t xml:space="preserve">... skihopp , ishockey , fotball , innebandy og klatring , før hun på videregående ble aktiv i Rød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.</t>
    </r>
  </si>
  <si>
    <t>Biografisk opplysning om at hun ble aktiv i Rød Ungdom.</t>
  </si>
  <si>
    <t>00135</t>
  </si>
  <si>
    <r>
      <rPr>
        <sz val="10"/>
        <rFont val="Arial"/>
        <family val="2"/>
      </rPr>
      <t xml:space="preserve">... Vi vet at dersom en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sliter kan problemet oppleves veldig akutt og ventetiden på BUP som altfor lang .</t>
    </r>
  </si>
  <si>
    <t>Ungdom som sliter opplever problemet akutt og ventetiden på BUP som for lang.</t>
  </si>
  <si>
    <t>00136</t>
  </si>
  <si>
    <r>
      <rPr>
        <sz val="10"/>
        <rFont val="Arial"/>
        <family val="2"/>
      </rPr>
      <t xml:space="preserve">... Men det rekrutteres også nye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til det hun ikke vil beskrive som et etablert gjengmiljø , men unge som... </t>
    </r>
  </si>
  <si>
    <t>Nye ungdommer rekrutteres til et miljø som grenser mot gjengmiljø.</t>
  </si>
  <si>
    <t>00137</t>
  </si>
  <si>
    <r>
      <rPr>
        <sz val="10"/>
        <rFont val="Arial"/>
        <family val="2"/>
      </rPr>
      <t xml:space="preserve">... Jordan fordi hun hadde gitt uriktige opplysninger , har han tilbrakt flere år av sin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foreldreløs i Norge .</t>
    </r>
  </si>
  <si>
    <t>Konkret alvorlig hendelse: flere år av ungdommen tilbrakt foreldreløs.</t>
  </si>
  <si>
    <t>00138</t>
  </si>
  <si>
    <r>
      <rPr>
        <sz val="10"/>
        <rFont val="Arial"/>
        <family val="2"/>
      </rPr>
      <t xml:space="preserve">... – Pandemien er ekstra tøff for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. Mange unge forteller om ensomhet og psykiske utfordringer . Nå må foreldre... </t>
    </r>
  </si>
  <si>
    <t>Pandemien «ekstra tøff» for ungdommen; ensomhet og psykiske utfordringer.</t>
  </si>
  <si>
    <t>00139</t>
  </si>
  <si>
    <r>
      <rPr>
        <sz val="10"/>
        <rFont val="Arial"/>
        <family val="2"/>
      </rPr>
      <t xml:space="preserve">... forrige uke , som også hevdet at « dessverre lot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seg provosere » . Dette er sakens kjerne , skriver hun... </t>
    </r>
  </si>
  <si>
    <t>«Dessverre lot ungdom seg provosere» – skyldplassering.</t>
  </si>
  <si>
    <t>00140</t>
  </si>
  <si>
    <r>
      <rPr>
        <sz val="10"/>
        <rFont val="Arial"/>
        <family val="2"/>
      </rPr>
      <t xml:space="preserve">Barn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kan derimot ikke gi selvstendig samtykke til inngripende , irreversibel og / eller eksperimentell og risikofylt behandling... </t>
    </r>
  </si>
  <si>
    <t>Juridisk/faglig beskrivelse av samtykkekompetanse for barn og ungdom.</t>
  </si>
  <si>
    <t>00141</t>
  </si>
  <si>
    <r>
      <rPr>
        <sz val="10"/>
        <rFont val="Arial"/>
        <family val="2"/>
      </rPr>
      <t xml:space="preserve">Forskere har utviklet en ny måte å gi psykologisk førstehjelp på , som skal lære barn og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å mestre... </t>
    </r>
  </si>
  <si>
    <t>Saklig omtale av ny metode for psykologisk førstehjelp til barn og ungdom.</t>
  </si>
  <si>
    <t>00142</t>
  </si>
  <si>
    <r>
      <rPr>
        <sz val="10"/>
        <rFont val="Arial"/>
        <family val="2"/>
      </rPr>
      <t xml:space="preserve">... sykehus , ulike arbeidslivsspørsmål , fagopplæring og yrkesopplæring for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. Det er mange saker jeg kunne nevnt der Senterpartiet... </t>
    </r>
  </si>
  <si>
    <t>Yrkesopplæring for ungdommer nevnt i opplisting av politiske saker.</t>
  </si>
  <si>
    <t>00143</t>
  </si>
  <si>
    <r>
      <rPr>
        <sz val="10"/>
        <rFont val="Arial"/>
        <family val="2"/>
      </rPr>
      <t xml:space="preserve">... Rektor ved Sam Eyde videregående håper at det vil bli greit for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. Men hvordan har elevene det med... </t>
    </r>
  </si>
  <si>
    <t>Rektor håper det blir greit for ungdommene; ingen tydelig valør.</t>
  </si>
  <si>
    <t>00144</t>
  </si>
  <si>
    <r>
      <rPr>
        <sz val="10"/>
        <rFont val="Arial"/>
        <family val="2"/>
      </rPr>
      <t xml:space="preserve">... miljø , som vi altså årlig innrullerer tusenvis av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til . Her har Forsvaret en jobb å gjøre .</t>
    </r>
  </si>
  <si>
    <t>Tusenvis av ungdommer innrulleres i et miljø som kritiseres.</t>
  </si>
  <si>
    <t>00145</t>
  </si>
  <si>
    <r>
      <rPr>
        <sz val="10"/>
        <rFont val="Arial"/>
        <family val="2"/>
      </rPr>
      <t xml:space="preserve">... ønsker å være en butikk for alle , både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og eldre . Det skal være klassisk og elegant ,... </t>
    </r>
  </si>
  <si>
    <t>Ungdom nevnt som del av butikkens målgruppe.</t>
  </si>
  <si>
    <t>00146</t>
  </si>
  <si>
    <r>
      <rPr>
        <sz val="10"/>
        <rFont val="Arial"/>
        <family val="2"/>
      </rPr>
      <t xml:space="preserve">... - Det gleder meg at så mye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fant veien til Hedalen skole på en lørdagskveld , sier Kjell Ivar... </t>
    </r>
  </si>
  <si>
    <t>Glede over at mye ungdom fant veien til arrangementet.</t>
  </si>
  <si>
    <t>00147</t>
  </si>
  <si>
    <r>
      <rPr>
        <sz val="10"/>
        <rFont val="Arial"/>
        <family val="2"/>
      </rPr>
      <t xml:space="preserve">... for å ruste oss foran kommunesammenslåing i 2020 , og alt som mangler nå er å satse på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?</t>
    </r>
  </si>
  <si>
    <t>Retorisk oppfordring om å satse på ungdommen.</t>
  </si>
  <si>
    <t>00148</t>
  </si>
  <si>
    <r>
      <rPr>
        <sz val="10"/>
        <rFont val="Arial"/>
        <family val="2"/>
      </rPr>
      <t xml:space="preserve">... Maureen fikser ikke at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, friheten , penheten skal være fortid . Hun vil ha , og finner ,... </t>
    </r>
  </si>
  <si>
    <t>Om en figur som ikke aksepterer at hennes egen ungdom er fortid.</t>
  </si>
  <si>
    <t>00149</t>
  </si>
  <si>
    <r>
      <rPr>
        <sz val="10"/>
        <rFont val="Arial"/>
        <family val="2"/>
      </rPr>
      <t xml:space="preserve">... Dette gjelder ikke bare studenter , men også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i skolealder i Oslo .</t>
    </r>
  </si>
  <si>
    <t>Ren avgrensning av hvilke grupper noe gjelder for.</t>
  </si>
  <si>
    <t>00150</t>
  </si>
  <si>
    <r>
      <rPr>
        <sz val="10"/>
        <rFont val="Arial"/>
        <family val="2"/>
      </rPr>
      <t xml:space="preserve">... - Psykisk helse for barn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- oppspill til debatt ved Elvira Anderson , overlege ved BUP Furuset .</t>
    </r>
  </si>
  <si>
    <t>Programoppføring om debatt; ingen påstand framsettes om ungdom.</t>
  </si>
  <si>
    <t>00151</t>
  </si>
  <si>
    <r>
      <rPr>
        <sz val="10"/>
        <rFont val="Arial"/>
        <family val="2"/>
      </rPr>
      <t xml:space="preserve">Planen er at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som selv kjenner rasisme på kroppen skal lære opp etnisk norske voksenpersoner .</t>
    </r>
  </si>
  <si>
    <t>Ungdommer med egenerfaring skal lære opp voksne – ungdom som ressurs.</t>
  </si>
  <si>
    <t>00152</t>
  </si>
  <si>
    <r>
      <rPr>
        <sz val="10"/>
        <rFont val="Arial"/>
        <family val="2"/>
      </rPr>
      <t xml:space="preserve">... Skien kommune nekter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i Oppdrag å få refundert 124.000 kroner i avgifter . Årsaken er blant annet deres teologiske... </t>
    </r>
  </si>
  <si>
    <t>Forvaltningssak om avgiftsrefusjon til Ungdom i Oppdrag.</t>
  </si>
  <si>
    <t>00153</t>
  </si>
  <si>
    <r>
      <rPr>
        <sz val="10"/>
        <rFont val="Arial"/>
        <family val="2"/>
      </rPr>
      <t xml:space="preserve">Kjære politikere i Trondheim bystyre , bygningsråd , oppvekstkomité , kommunalt råd for mennesker med nedsatt funksjonsevne og </t>
    </r>
    <r>
      <rPr>
        <b/>
        <sz val="10"/>
        <rFont val="Arial"/>
        <family val="2"/>
      </rPr>
      <t>ungdommens</t>
    </r>
    <r>
      <rPr>
        <sz val="10"/>
        <rFont val="Arial"/>
        <family val="2"/>
      </rPr>
      <t xml:space="preserve"> bystyre... </t>
    </r>
  </si>
  <si>
    <t>ungdommens</t>
  </si>
  <si>
    <t>Ungdommens bystyre nevnt i opplisting av mottakere.</t>
  </si>
  <si>
    <t>00154</t>
  </si>
  <si>
    <r>
      <rPr>
        <sz val="10"/>
        <rFont val="Arial"/>
        <family val="2"/>
      </rPr>
      <t xml:space="preserve">Barn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tilbringer en vesentlig andel av sin våkentid i nettopp skolen . Det er her de sosiale nettverkene... </t>
    </r>
  </si>
  <si>
    <t>Faktabeskrivelse av at barn og ungdom tilbringer mye tid på skolen.</t>
  </si>
  <si>
    <t>00155</t>
  </si>
  <si>
    <r>
      <rPr>
        <sz val="10"/>
        <rFont val="Arial"/>
        <family val="2"/>
      </rPr>
      <t xml:space="preserve">... Barneombudet påpeker at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allerede har båret en stor byrde gjennom pandemien .</t>
    </r>
  </si>
  <si>
    <t>Ungdommene har «båret en stor byrde» gjennom pandemien.</t>
  </si>
  <si>
    <t>00156</t>
  </si>
  <si>
    <r>
      <rPr>
        <sz val="10"/>
        <rFont val="Arial"/>
        <family val="2"/>
      </rPr>
      <t xml:space="preserve">Praksisen skaper barrierer for vanlig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som ønsker seg drømmejobber i attraktive bransjer .</t>
    </r>
  </si>
  <si>
    <t>Praksisen skaper barrierer for ungdom som vil ha drømmejobber.</t>
  </si>
  <si>
    <t>00157</t>
  </si>
  <si>
    <r>
      <rPr>
        <sz val="10"/>
        <rFont val="Arial"/>
        <family val="2"/>
      </rPr>
      <t xml:space="preserve">– Blant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flest hadde rundt 11 prosent prøvd narkotika , ifølge Bergensstudien . Blant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som hadde hatt atferdsproblemer... </t>
    </r>
  </si>
  <si>
    <t>Narkotikastatistikk og atferdsproblemer blant ungdom.</t>
  </si>
  <si>
    <t>00158</t>
  </si>
  <si>
    <r>
      <rPr>
        <sz val="10"/>
        <rFont val="Arial"/>
        <family val="2"/>
      </rPr>
      <t xml:space="preserve">Etter det Budstikka kjenner til , skal det være både voksne og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politiet ønsker å snakke med.</t>
    </r>
  </si>
  <si>
    <t>Ungdommer blant dem politiet ønsker å snakke med i en sak.</t>
  </si>
  <si>
    <t>00159</t>
  </si>
  <si>
    <r>
      <rPr>
        <sz val="10"/>
        <rFont val="Arial"/>
        <family val="2"/>
      </rPr>
      <t xml:space="preserve">Psykologforeningen er bekymret for at tilbudene til en gruppe ofte usynlig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og deres familier forsvinner . Det er ingen... </t>
    </r>
  </si>
  <si>
    <t>Bekymring for at tilbudene til «ofte usynlige» ungdommer forsvinner.</t>
  </si>
  <si>
    <t>00160</t>
  </si>
  <si>
    <r>
      <rPr>
        <sz val="10"/>
        <rFont val="Arial"/>
        <family val="2"/>
      </rPr>
      <t xml:space="preserve">Ho jobbar på helsestasjon for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på Engen i Bergen , og fortel at dei har jobba for dette i... </t>
    </r>
  </si>
  <si>
    <t>Beskrivelse av arbeid ved helsestasjon for ungdom.</t>
  </si>
  <si>
    <t>00161</t>
  </si>
  <si>
    <r>
      <rPr>
        <sz val="10"/>
        <rFont val="Arial"/>
        <family val="2"/>
      </rPr>
      <t xml:space="preserve">... Også flere andre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fra oppdalsregionen er tatt i høy fart i år .</t>
    </r>
  </si>
  <si>
    <t>Flere ungdommer tatt for høy fart – lovbrudd.</t>
  </si>
  <si>
    <t>00162</t>
  </si>
  <si>
    <r>
      <rPr>
        <sz val="10"/>
        <rFont val="Arial"/>
        <family val="2"/>
      </rPr>
      <t xml:space="preserve">... Blant organisasjonane er Fagforbundet , Natur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, Spire , Alliansen ny landbrukspolitikk , og Fellesforbundet .</t>
    </r>
  </si>
  <si>
    <t>Natur og Ungdom nevnt i opplisting av organisasjoner.</t>
  </si>
  <si>
    <t>00163</t>
  </si>
  <si>
    <r>
      <rPr>
        <sz val="10"/>
        <rFont val="Arial"/>
        <family val="2"/>
      </rPr>
      <t xml:space="preserve">Folkehelseinstituttet anbefaler vaksinen Comirnaty fra BioNTech / Pfizer til barn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fordi det er større erfaring med bruk av... </t>
    </r>
  </si>
  <si>
    <t>Helsefaglig anbefaling om vaksine til barn og ungdom.</t>
  </si>
  <si>
    <t>00164</t>
  </si>
  <si>
    <r>
      <rPr>
        <sz val="10"/>
        <rFont val="Arial"/>
        <family val="2"/>
      </rPr>
      <t xml:space="preserve">– Det var her mye skjedde , det var her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dro ned til kaiområdet for å bli med MS... </t>
    </r>
  </si>
  <si>
    <t>Historisk beskrivelse av at ungdommen dro til kaiområdet.</t>
  </si>
  <si>
    <t>00165</t>
  </si>
  <si>
    <r>
      <rPr>
        <sz val="10"/>
        <rFont val="Arial"/>
        <family val="2"/>
      </rPr>
      <t xml:space="preserve">- Det andre er Allidrett , ett variert tilbud om fysisk aktivitet for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, som ikke ønsker å spesialisere... </t>
    </r>
  </si>
  <si>
    <t>Variert aktivitetstilbud for ungdommer som ikke vil spesialisere seg.</t>
  </si>
  <si>
    <t>00166</t>
  </si>
  <si>
    <r>
      <rPr>
        <sz val="10"/>
        <rFont val="Arial"/>
        <family val="2"/>
      </rPr>
      <t xml:space="preserve">Gammelbilklubben skal bygge ny verkstedhall : Ønsker flere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velkommen</t>
    </r>
  </si>
  <si>
    <t>Klubben ønsker flere ungdommer velkommen.</t>
  </si>
  <si>
    <t>00167</t>
  </si>
  <si>
    <r>
      <rPr>
        <sz val="10"/>
        <rFont val="Arial"/>
        <family val="2"/>
      </rPr>
      <t xml:space="preserve">– Det er gledeleg at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gir plasten ein verdi i form av eit nytt produkt , seier rådgivar for... </t>
    </r>
  </si>
  <si>
    <t>«Gledeleg» at ungdommen gir plasten verdi i et nytt produkt.</t>
  </si>
  <si>
    <t>00168</t>
  </si>
  <si>
    <r>
      <rPr>
        <sz val="10"/>
        <rFont val="Arial"/>
        <family val="2"/>
      </rPr>
      <t xml:space="preserve">... Og ofte blant yngre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. Mange har allerede fått et forhold til hasjrøyking når de kommer til videregående .</t>
    </r>
  </si>
  <si>
    <t>Yngre ungdommer har allerede et forhold til hasjrøyking.</t>
  </si>
  <si>
    <t>00169</t>
  </si>
  <si>
    <r>
      <rPr>
        <sz val="10"/>
        <rFont val="Arial"/>
        <family val="2"/>
      </rPr>
      <t xml:space="preserve">... Vi rapporterer i dag en mindre andel smittetilfeller blant barn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og en større andel i aldersgruppen 20-49 år... </t>
    </r>
  </si>
  <si>
    <t>Ren smittestatistikk fordelt på aldersgrupper.</t>
  </si>
  <si>
    <t>00170</t>
  </si>
  <si>
    <r>
      <rPr>
        <sz val="10"/>
        <rFont val="Arial"/>
        <family val="2"/>
      </rPr>
      <t xml:space="preserve">I brevet oppgir barnevernslederne i de 15 bydelene at de tilsammen hadde behov for å bruke MST overfor 44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... </t>
    </r>
  </si>
  <si>
    <t>Forvaltningsspråk om barnevernets behov for tiltak overfor 44 ungdommer.</t>
  </si>
  <si>
    <t>00171</t>
  </si>
  <si>
    <r>
      <rPr>
        <sz val="10"/>
        <rFont val="Arial"/>
        <family val="2"/>
      </rPr>
      <t xml:space="preserve">... Vi bygger en ny « black box » for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, som skal stå ferdig til sommeren . Rugekassa , som vi... </t>
    </r>
  </si>
  <si>
    <t>Nytt kulturbygg oppføres for ungdommen.</t>
  </si>
  <si>
    <t>00172</t>
  </si>
  <si>
    <r>
      <rPr>
        <sz val="10"/>
        <rFont val="Arial"/>
        <family val="2"/>
      </rPr>
      <t xml:space="preserve">Det er blitt et underholdende og språklig suverent portrett av en uforbederlig rundbrenner , fra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til alderdom , der... </t>
    </r>
  </si>
  <si>
    <t>«Fra ungdom til alderdom» om et livsløpsportrett; ikke om unge i dag.</t>
  </si>
  <si>
    <t>00173</t>
  </si>
  <si>
    <r>
      <rPr>
        <sz val="10"/>
        <rFont val="Arial"/>
        <family val="2"/>
      </rPr>
      <t xml:space="preserve">... Torsdag var hele ti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fra Guri Kunna troppet opp i Livsgledeskjorter for å helpe til med arrangementet . Rigmor... </t>
    </r>
  </si>
  <si>
    <t>Ti ungdommer stilte opp frivillig for å hjelpe til på arrangementet.</t>
  </si>
  <si>
    <t>00174</t>
  </si>
  <si>
    <r>
      <rPr>
        <sz val="10"/>
        <rFont val="Arial"/>
        <family val="2"/>
      </rPr>
      <t xml:space="preserve">... Barn ,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og voksne løpt 1 km , 3 km og 6,7 km . Her fra barneløpet som suste... </t>
    </r>
  </si>
  <si>
    <t>Ungdom nevnt som deltakerkategori i en løpsbeskrivelse.</t>
  </si>
  <si>
    <t>00175</t>
  </si>
  <si>
    <r>
      <rPr>
        <sz val="10"/>
        <rFont val="Arial"/>
        <family val="2"/>
      </rPr>
      <t xml:space="preserve">Horatio og resten av Miami-teamet blir sendt for å etterforske en tragisk nattklubbrann som tok livet av 16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.... </t>
    </r>
  </si>
  <si>
    <t>16 ungdommer omkom i brann – ungdom som ofre.</t>
  </si>
  <si>
    <t>00176</t>
  </si>
  <si>
    <r>
      <rPr>
        <sz val="10"/>
        <rFont val="Arial"/>
        <family val="2"/>
      </rPr>
      <t xml:space="preserve">... Foreldre tar med seg bøsse og går med barna sine ,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fra barneskoler , ungdomsskoler og videregående går fra... </t>
    </r>
  </si>
  <si>
    <t>Ungdommer deltar i innsamlingsaksjon – dugnadsinnsats.</t>
  </si>
  <si>
    <t>00177</t>
  </si>
  <si>
    <r>
      <rPr>
        <sz val="10"/>
        <rFont val="Arial"/>
        <family val="2"/>
      </rPr>
      <t xml:space="preserve">... SIAN-leder Lars Thorsen etter å ha blitt slått ned av muslimske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i Bergen lørdag . FOTO : ALEXANDER JANSEN... </t>
    </r>
  </si>
  <si>
    <t>Ungdommer beskrives som gjerningspersoner i en voldshendelse.</t>
  </si>
  <si>
    <t>00178</t>
  </si>
  <si>
    <t>00179</t>
  </si>
  <si>
    <r>
      <rPr>
        <sz val="10"/>
        <rFont val="Arial"/>
        <family val="2"/>
      </rPr>
      <t xml:space="preserve">– Kommuneoverlegen er ferdig med smittesporingen og alle foresatte til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som må i karantene er oppringt personlig av kommuneoverlegen... </t>
    </r>
  </si>
  <si>
    <t>Forvaltningsspråk om smittesporing og karantenevarsling.</t>
  </si>
  <si>
    <t>00180</t>
  </si>
  <si>
    <r>
      <rPr>
        <sz val="10"/>
        <rFont val="Arial"/>
        <family val="2"/>
      </rPr>
      <t xml:space="preserve">... For sårbar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kan det ha mye å si .</t>
    </r>
  </si>
  <si>
    <t>Negativt adjektiv «sårbar» om ungdom som gruppe.</t>
  </si>
  <si>
    <t>00181</t>
  </si>
  <si>
    <r>
      <rPr>
        <sz val="10"/>
        <rFont val="Arial"/>
        <family val="2"/>
      </rPr>
      <t xml:space="preserve">– ⁠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er ikke dumme . De går på skole sammen med innvandrerungdom og ser at vi ikke er knivdesperadoer... </t>
    </r>
  </si>
  <si>
    <t>«Ungdom er ikke dumme» – ungdom framstilt som kloke og observante.</t>
  </si>
  <si>
    <t>00182</t>
  </si>
  <si>
    <r>
      <rPr>
        <sz val="10"/>
        <rFont val="Arial"/>
        <family val="2"/>
      </rPr>
      <t xml:space="preserve">... 8 % av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går ut av vidaregåande og inn i uføretrygd . Mange mennesker med en funksjonshemming ynskjer seg... </t>
    </r>
  </si>
  <si>
    <t>Statistikk om at 8 % av ungdom går fra videregående til uføretrygd.</t>
  </si>
  <si>
    <t>00183</t>
  </si>
  <si>
    <r>
      <rPr>
        <sz val="10"/>
        <rFont val="Arial"/>
        <family val="2"/>
      </rPr>
      <t xml:space="preserve">– Eg er med i Natur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, og tenkte eg ville sjå kva heradet har tenkt å gjera... </t>
    </r>
  </si>
  <si>
    <t>Medlem i Natur og Ungdom møter opp for å følge med på lokalpolitikken.</t>
  </si>
  <si>
    <t>00184</t>
  </si>
  <si>
    <r>
      <rPr>
        <sz val="10"/>
        <rFont val="Arial"/>
        <family val="2"/>
      </rPr>
      <t xml:space="preserve">– Dagens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opplever blant annet mer press til å gjøre det bra på skolen , og da ønsker de... </t>
    </r>
  </si>
  <si>
    <t>Dagens ungdom opplever mer press på skolen.</t>
  </si>
  <si>
    <t>00185</t>
  </si>
  <si>
    <r>
      <rPr>
        <sz val="10"/>
        <rFont val="Arial"/>
        <family val="2"/>
      </rPr>
      <t xml:space="preserve">... sagt som vanlig – er med på å trykke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ned , i stedet for å løfte dem . Lundemos... </t>
    </r>
  </si>
  <si>
    <t>Omtalen «trykker ungdommen ned, i stedet for å løfte dem».</t>
  </si>
  <si>
    <t>00186</t>
  </si>
  <si>
    <r>
      <rPr>
        <sz val="10"/>
        <rFont val="Arial"/>
        <family val="2"/>
      </rPr>
      <t xml:space="preserve">... De finner at når flere samiske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er avholds , har religiøsitet mer å si enn etnisitet . « The protective... </t>
    </r>
  </si>
  <si>
    <t>Forskningsfunn om sammenheng mellom religiøsitet og avhold blant samisk ungdom.</t>
  </si>
  <si>
    <t>00187</t>
  </si>
  <si>
    <r>
      <rPr>
        <sz val="10"/>
        <rFont val="Arial"/>
        <family val="2"/>
      </rPr>
      <t xml:space="preserve">Vi ønsker å legge til rette for sunne og gode miljøer for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våre . Derfor kommer vi i vårt... </t>
    </r>
  </si>
  <si>
    <t>Ønske om å legge til rette for sunne og gode miljøer for ungdommene.</t>
  </si>
  <si>
    <t>00188</t>
  </si>
  <si>
    <r>
      <rPr>
        <sz val="10"/>
        <rFont val="Arial"/>
        <family val="2"/>
      </rPr>
      <t xml:space="preserve">Sirkustelt , konserter og skumparty for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. – Det er dette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vil ha , mener ildsjeler på Saltrød... </t>
    </r>
  </si>
  <si>
    <t>Arrangementer skapes for ungdommen: «det er dette ungdommen vil ha».</t>
  </si>
  <si>
    <t>00189</t>
  </si>
  <si>
    <r>
      <rPr>
        <sz val="10"/>
        <rFont val="Arial"/>
        <family val="2"/>
      </rPr>
      <t xml:space="preserve">... Og føler meg ikke ensom , forteller en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.</t>
    </r>
  </si>
  <si>
    <t>En ungdom forteller at hen ikke føler seg ensom.</t>
  </si>
  <si>
    <t>00190</t>
  </si>
  <si>
    <r>
      <rPr>
        <sz val="10"/>
        <rFont val="Arial"/>
        <family val="2"/>
      </rPr>
      <t xml:space="preserve">Så oppfordringen til dere som påvirker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til videre utdanningsløp er å starte med å undersøke hvilke interesser den unge... </t>
    </r>
  </si>
  <si>
    <t>Råd til voksne om å kartlegge den unges interesser ved utdanningsvalg.</t>
  </si>
  <si>
    <t>00191</t>
  </si>
  <si>
    <r>
      <rPr>
        <sz val="10"/>
        <rFont val="Arial"/>
        <family val="2"/>
      </rPr>
      <t xml:space="preserve">– Vi kan ikke overlate til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å sette grensene . Det kan være vanskelig for foreldre å sette grenser... </t>
    </r>
  </si>
  <si>
    <t>Utsagn om ansvarsfordeling i grensesetting; vekten ligger på foreldrerollen.</t>
  </si>
  <si>
    <t>00192</t>
  </si>
  <si>
    <r>
      <rPr>
        <sz val="10"/>
        <rFont val="Arial"/>
        <family val="2"/>
      </rPr>
      <t xml:space="preserve">... , til tross for at det store flertall i kull etter kull av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oppgir å ha god livskvalitet .</t>
    </r>
  </si>
  <si>
    <t>Det store flertallet av ungdommer oppgir god livskvalitet.</t>
  </si>
  <si>
    <t>00193</t>
  </si>
  <si>
    <r>
      <rPr>
        <sz val="10"/>
        <rFont val="Arial"/>
        <family val="2"/>
      </rPr>
      <t xml:space="preserve">... Det har vært en drastisk nedgang i fritidsklubber de ti siste årene , og kun halvparten av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i Norge... </t>
    </r>
  </si>
  <si>
    <t>Drastisk nedgang i fritidsklubber; bare halvparten av ungdommen har tilbud.</t>
  </si>
  <si>
    <t>00194</t>
  </si>
  <si>
    <r>
      <rPr>
        <sz val="10"/>
        <rFont val="Arial"/>
        <family val="2"/>
      </rPr>
      <t xml:space="preserve">... unges psykiske helse , sa Lea Mariero , leder i Press – Redd Barna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, i en pressemelding .</t>
    </r>
  </si>
  <si>
    <t>Sitatet er avkuttet; kun temaet unges psykiske helse er synlig.</t>
  </si>
  <si>
    <t>00195</t>
  </si>
  <si>
    <r>
      <rPr>
        <sz val="10"/>
        <rFont val="Arial"/>
        <family val="2"/>
      </rPr>
      <t xml:space="preserve">– Dette dreier seg å gi et best mulig tilbud og tilrettelegging for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i fylket vårt . Vi bor... </t>
    </r>
  </si>
  <si>
    <t>Mål om best mulig tilbud og tilrettelegging for ungdommen i fylket.</t>
  </si>
  <si>
    <t>00196</t>
  </si>
  <si>
    <r>
      <rPr>
        <sz val="10"/>
        <rFont val="Arial"/>
        <family val="2"/>
      </rPr>
      <t xml:space="preserve">– Det er kjempeflott å se at så mange virkelig satser på aktiviteter for barn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i år .... </t>
    </r>
  </si>
  <si>
    <t>«Kjempeflott» at mange satser på aktiviteter for barn og ungdom.</t>
  </si>
  <si>
    <t>00197</t>
  </si>
  <si>
    <r>
      <rPr>
        <sz val="10"/>
        <rFont val="Arial"/>
        <family val="2"/>
      </rPr>
      <t xml:space="preserve">Etablerer småjobbsentral : – Nå kan de som vil ha oppgaver løst , få hjelp av </t>
    </r>
    <r>
      <rPr>
        <b/>
        <sz val="10"/>
        <rFont val="Arial"/>
        <family val="2"/>
      </rPr>
      <t>ungdommen</t>
    </r>
  </si>
  <si>
    <t>Ungdommen tilbyr arbeidskraft gjennom småjobbsentral.</t>
  </si>
  <si>
    <t>00198</t>
  </si>
  <si>
    <r>
      <rPr>
        <sz val="10"/>
        <rFont val="Arial"/>
        <family val="2"/>
      </rPr>
      <t xml:space="preserve">I en konkurranse i regi av Innlandet fylkeskommune har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i regionen fått sagt sitt om framtiden – gjennom sang... </t>
    </r>
  </si>
  <si>
    <t>Ungdom i regionen har fått si sitt om framtiden gjennom en konkurranse.</t>
  </si>
  <si>
    <t>00199</t>
  </si>
  <si>
    <r>
      <rPr>
        <sz val="10"/>
        <rFont val="Arial"/>
        <family val="2"/>
      </rPr>
      <t xml:space="preserve">... Anne Thingstad Bjørnstad lover økt aktivitet – særlig for barn og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! – Her blir det god plass til... </t>
    </r>
  </si>
  <si>
    <t>Løfte om økt aktivitet særlig for barn og ungdommer.</t>
  </si>
  <si>
    <t>Fordeling – modellens vurdering</t>
  </si>
  <si>
    <t>antall</t>
  </si>
  <si>
    <t>andel</t>
  </si>
  <si>
    <t>manuelt avvik</t>
  </si>
  <si>
    <t>Sum</t>
  </si>
  <si>
    <t>label=ungdomsorg</t>
  </si>
  <si>
    <t>Kolonnene manuell_sentiment og kommentar i arket «Konkordanser» fylles ut for hånd; «manuelt avvik» teller rader der du har valgt noe annet enn modellen.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</si>
</sst>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i/>
      <sz val="9"/>
      <name val="Arial"/>
      <family val="2"/>
    </font>
    <font>
      <sz val="10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44546A"/>
        <bgColor rgb="FF333399"/>
      </patternFill>
    </fill>
    <fill>
      <patternFill patternType="solid">
        <fgColor rgb="FFFCE4E4"/>
        <bgColor rgb="FFE7E0EC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7E0EC"/>
        <bgColor rgb="FFFCE4E4"/>
      </patternFill>
    </fill>
    <fill>
      <patternFill patternType="solid">
        <fgColor rgb="FFFFF2CC"/>
        <bgColor rgb="FF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3" borderId="0" xfId="0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3" fillId="5" borderId="0" xfId="0" applyFont="1" applyFill="1" applyAlignment="1">
      <alignment vertical="top"/>
    </xf>
    <xf numFmtId="0" fontId="3" fillId="6" borderId="0" xfId="0" applyFont="1" applyFill="1" applyAlignment="1">
      <alignment vertical="top"/>
    </xf>
    <xf numFmtId="0" fontId="3" fillId="7" borderId="0" xfId="0" applyFont="1" applyFill="1" applyAlignment="1">
      <alignment vertical="top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2" fillId="2" borderId="0" xfId="0" applyFont="1" applyFill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6" fillId="0" borderId="0" xfId="0" applyFont="1"/>
    <xf numFmtId="0" fontId="3" fillId="0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E7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n Carlstedt Tønnessen" id="{DBE7C191-A7A2-BF42-809E-230939C0DD47}" userId="S::jon.tonnessen@nb.no::2192ee07-1696-4e1f-8b78-9ea775d0977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8" dT="2026-07-28T22:00:27.07" personId="{DBE7C191-A7A2-BF42-809E-230939C0DD47}" id="{FB5EFE60-56B7-584F-BC11-F108A9460B62}">
    <text>positiv?</text>
  </threadedComment>
  <threadedComment ref="E13" dT="2026-07-28T22:01:15.11" personId="{DBE7C191-A7A2-BF42-809E-230939C0DD47}" id="{09108489-122B-6145-98DA-B0645CD4E353}">
    <text>håndtere smitte/korona-omtale som klassifiseres som negative?</text>
  </threadedComment>
  <threadedComment ref="E15" dT="2026-07-28T22:01:46.43" personId="{DBE7C191-A7A2-BF42-809E-230939C0DD47}" id="{00577E10-1608-6B43-99AF-502DDC346FD1}">
    <text>nøytral? ungdom ikke noen som hetser</text>
  </threadedComment>
  <threadedComment ref="E16" dT="2026-07-28T22:02:04.41" personId="{DBE7C191-A7A2-BF42-809E-230939C0DD47}" id="{B13BB890-38C7-4B42-9451-7D9D2B3D6211}">
    <text>nøytral?</text>
  </threadedComment>
  <threadedComment ref="E157" dT="2026-07-28T21:59:47.68" personId="{DBE7C191-A7A2-BF42-809E-230939C0DD47}" id="{C7640E88-BDCA-EC4D-934E-DF44C2F7C28C}">
    <text>nøytral?</text>
  </threadedComment>
  <threadedComment ref="E158" dT="2026-07-28T21:59:31.51" personId="{DBE7C191-A7A2-BF42-809E-230939C0DD47}" id="{4F67F3B2-FA7C-1542-A5C3-EB10D50FBA45}">
    <text>positiv?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7" sqref="E17"/>
    </sheetView>
  </sheetViews>
  <sheetFormatPr baseColWidth="10" defaultColWidth="8.6640625" defaultRowHeight="15" x14ac:dyDescent="0.2"/>
  <cols>
    <col min="1" max="1" width="10" customWidth="1"/>
    <col min="2" max="2" width="12" customWidth="1"/>
    <col min="3" max="3" width="95" customWidth="1"/>
    <col min="4" max="6" width="14" customWidth="1"/>
    <col min="7" max="7" width="55" customWidth="1"/>
    <col min="8" max="8" width="18" customWidth="1"/>
    <col min="9" max="9" width="40" customWidth="1"/>
  </cols>
  <sheetData>
    <row r="1" spans="1:9" ht="25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customHeight="1" x14ac:dyDescent="0.2">
      <c r="A2" s="2" t="s">
        <v>9</v>
      </c>
      <c r="B2" s="2">
        <v>601583691</v>
      </c>
      <c r="C2" s="3" t="s">
        <v>10</v>
      </c>
      <c r="D2" s="2" t="s">
        <v>11</v>
      </c>
      <c r="E2" s="4" t="s">
        <v>12</v>
      </c>
      <c r="F2" s="16"/>
      <c r="G2" s="3" t="s">
        <v>13</v>
      </c>
      <c r="H2" s="2"/>
      <c r="I2" s="3"/>
    </row>
    <row r="3" spans="1:9" ht="30" customHeight="1" x14ac:dyDescent="0.2">
      <c r="A3" s="2" t="s">
        <v>14</v>
      </c>
      <c r="B3" s="2">
        <v>601433295</v>
      </c>
      <c r="C3" s="3" t="s">
        <v>15</v>
      </c>
      <c r="D3" s="2" t="s">
        <v>11</v>
      </c>
      <c r="E3" s="5" t="s">
        <v>16</v>
      </c>
      <c r="F3" s="16"/>
      <c r="G3" s="3" t="s">
        <v>17</v>
      </c>
      <c r="H3" s="2"/>
      <c r="I3" s="3"/>
    </row>
    <row r="4" spans="1:9" ht="30" customHeight="1" x14ac:dyDescent="0.2">
      <c r="A4" s="2" t="s">
        <v>18</v>
      </c>
      <c r="B4" s="2">
        <v>600355879</v>
      </c>
      <c r="C4" s="3" t="s">
        <v>19</v>
      </c>
      <c r="D4" s="2" t="s">
        <v>11</v>
      </c>
      <c r="E4" s="6" t="s">
        <v>20</v>
      </c>
      <c r="F4" s="16"/>
      <c r="G4" s="3" t="s">
        <v>21</v>
      </c>
      <c r="H4" s="2"/>
      <c r="I4" s="3"/>
    </row>
    <row r="5" spans="1:9" ht="30" customHeight="1" x14ac:dyDescent="0.2">
      <c r="A5" s="2" t="s">
        <v>22</v>
      </c>
      <c r="B5" s="2">
        <v>601650185</v>
      </c>
      <c r="C5" s="3" t="s">
        <v>23</v>
      </c>
      <c r="D5" s="2" t="s">
        <v>24</v>
      </c>
      <c r="E5" s="4" t="s">
        <v>12</v>
      </c>
      <c r="F5" s="16"/>
      <c r="G5" s="3" t="s">
        <v>25</v>
      </c>
      <c r="H5" s="2"/>
      <c r="I5" s="3"/>
    </row>
    <row r="6" spans="1:9" ht="30" customHeight="1" x14ac:dyDescent="0.2">
      <c r="A6" s="2" t="s">
        <v>26</v>
      </c>
      <c r="B6" s="2">
        <v>600581798</v>
      </c>
      <c r="C6" s="3" t="s">
        <v>27</v>
      </c>
      <c r="D6" s="2" t="s">
        <v>11</v>
      </c>
      <c r="E6" s="5" t="s">
        <v>16</v>
      </c>
      <c r="F6" s="16"/>
      <c r="G6" s="3" t="s">
        <v>28</v>
      </c>
      <c r="H6" s="2"/>
      <c r="I6" s="3"/>
    </row>
    <row r="7" spans="1:9" ht="30" customHeight="1" x14ac:dyDescent="0.2">
      <c r="A7" s="2" t="s">
        <v>29</v>
      </c>
      <c r="B7" s="2">
        <v>600284999</v>
      </c>
      <c r="C7" s="3" t="s">
        <v>30</v>
      </c>
      <c r="D7" s="2" t="s">
        <v>31</v>
      </c>
      <c r="E7" s="7" t="s">
        <v>32</v>
      </c>
      <c r="F7" s="16"/>
      <c r="G7" s="3" t="s">
        <v>33</v>
      </c>
      <c r="H7" s="2"/>
      <c r="I7" s="3"/>
    </row>
    <row r="8" spans="1:9" ht="30" customHeight="1" x14ac:dyDescent="0.2">
      <c r="A8" s="2" t="s">
        <v>34</v>
      </c>
      <c r="B8" s="2">
        <v>601036855</v>
      </c>
      <c r="C8" s="3" t="s">
        <v>35</v>
      </c>
      <c r="D8" s="2" t="s">
        <v>24</v>
      </c>
      <c r="E8" s="6" t="s">
        <v>20</v>
      </c>
      <c r="F8" s="16"/>
      <c r="G8" s="3" t="s">
        <v>36</v>
      </c>
      <c r="H8" s="2"/>
      <c r="I8" s="3"/>
    </row>
    <row r="9" spans="1:9" ht="30" customHeight="1" x14ac:dyDescent="0.2">
      <c r="A9" s="2" t="s">
        <v>37</v>
      </c>
      <c r="B9" s="2">
        <v>600805820</v>
      </c>
      <c r="C9" s="3" t="s">
        <v>38</v>
      </c>
      <c r="D9" s="2" t="s">
        <v>11</v>
      </c>
      <c r="E9" s="4" t="s">
        <v>12</v>
      </c>
      <c r="F9" s="16"/>
      <c r="G9" s="3" t="s">
        <v>39</v>
      </c>
      <c r="H9" s="2"/>
      <c r="I9" s="3"/>
    </row>
    <row r="10" spans="1:9" ht="30" customHeight="1" x14ac:dyDescent="0.2">
      <c r="A10" s="2" t="s">
        <v>40</v>
      </c>
      <c r="B10" s="2">
        <v>601375227</v>
      </c>
      <c r="C10" s="3" t="s">
        <v>41</v>
      </c>
      <c r="D10" s="2" t="s">
        <v>24</v>
      </c>
      <c r="E10" s="5" t="s">
        <v>16</v>
      </c>
      <c r="F10" s="16"/>
      <c r="G10" s="3" t="s">
        <v>42</v>
      </c>
      <c r="H10" s="2"/>
      <c r="I10" s="3"/>
    </row>
    <row r="11" spans="1:9" ht="30" customHeight="1" x14ac:dyDescent="0.2">
      <c r="A11" s="2" t="s">
        <v>43</v>
      </c>
      <c r="B11" s="2">
        <v>601125362</v>
      </c>
      <c r="C11" s="3" t="s">
        <v>44</v>
      </c>
      <c r="D11" s="2" t="s">
        <v>11</v>
      </c>
      <c r="E11" s="4" t="s">
        <v>12</v>
      </c>
      <c r="F11" s="16"/>
      <c r="G11" s="3" t="s">
        <v>45</v>
      </c>
      <c r="H11" s="2"/>
      <c r="I11" s="3"/>
    </row>
    <row r="12" spans="1:9" ht="30" customHeight="1" x14ac:dyDescent="0.2">
      <c r="A12" s="2" t="s">
        <v>46</v>
      </c>
      <c r="B12" s="2">
        <v>600961771</v>
      </c>
      <c r="C12" s="3" t="s">
        <v>47</v>
      </c>
      <c r="D12" s="2" t="s">
        <v>48</v>
      </c>
      <c r="E12" s="5" t="s">
        <v>16</v>
      </c>
      <c r="F12" s="16"/>
      <c r="G12" s="3" t="s">
        <v>49</v>
      </c>
      <c r="H12" s="2"/>
      <c r="I12" s="3"/>
    </row>
    <row r="13" spans="1:9" ht="30" customHeight="1" x14ac:dyDescent="0.2">
      <c r="A13" s="2" t="s">
        <v>50</v>
      </c>
      <c r="B13" s="2">
        <v>600304614</v>
      </c>
      <c r="C13" s="3" t="s">
        <v>51</v>
      </c>
      <c r="D13" s="2" t="s">
        <v>24</v>
      </c>
      <c r="E13" s="4" t="s">
        <v>12</v>
      </c>
      <c r="F13" s="16"/>
      <c r="G13" s="3" t="s">
        <v>52</v>
      </c>
      <c r="H13" s="2"/>
      <c r="I13" s="3"/>
    </row>
    <row r="14" spans="1:9" ht="30" customHeight="1" x14ac:dyDescent="0.2">
      <c r="A14" s="2" t="s">
        <v>53</v>
      </c>
      <c r="B14" s="2">
        <v>600998233</v>
      </c>
      <c r="C14" s="3" t="s">
        <v>54</v>
      </c>
      <c r="D14" s="2" t="s">
        <v>11</v>
      </c>
      <c r="E14" s="7" t="s">
        <v>32</v>
      </c>
      <c r="F14" s="16"/>
      <c r="G14" s="3" t="s">
        <v>55</v>
      </c>
      <c r="H14" s="2"/>
      <c r="I14" s="3"/>
    </row>
    <row r="15" spans="1:9" ht="30" customHeight="1" x14ac:dyDescent="0.2">
      <c r="A15" s="2" t="s">
        <v>56</v>
      </c>
      <c r="B15" s="2">
        <v>601177863</v>
      </c>
      <c r="C15" s="3" t="s">
        <v>57</v>
      </c>
      <c r="D15" s="2" t="s">
        <v>58</v>
      </c>
      <c r="E15" s="4" t="s">
        <v>12</v>
      </c>
      <c r="F15" s="16" t="s">
        <v>59</v>
      </c>
      <c r="G15" s="3" t="s">
        <v>60</v>
      </c>
      <c r="H15" s="2"/>
      <c r="I15" s="3"/>
    </row>
    <row r="16" spans="1:9" ht="30" customHeight="1" x14ac:dyDescent="0.2">
      <c r="A16" s="2" t="s">
        <v>61</v>
      </c>
      <c r="B16" s="2">
        <v>600271454</v>
      </c>
      <c r="C16" s="3" t="s">
        <v>62</v>
      </c>
      <c r="D16" s="2" t="s">
        <v>48</v>
      </c>
      <c r="E16" s="4" t="s">
        <v>12</v>
      </c>
      <c r="F16" s="16"/>
      <c r="G16" s="3" t="s">
        <v>63</v>
      </c>
      <c r="H16" s="2"/>
      <c r="I16" s="3"/>
    </row>
    <row r="17" spans="1:9" ht="30" customHeight="1" x14ac:dyDescent="0.2">
      <c r="A17" s="2" t="s">
        <v>64</v>
      </c>
      <c r="B17" s="2">
        <v>601740048</v>
      </c>
      <c r="C17" s="3" t="s">
        <v>65</v>
      </c>
      <c r="D17" s="2" t="s">
        <v>58</v>
      </c>
      <c r="E17" s="5" t="s">
        <v>16</v>
      </c>
      <c r="F17" s="16" t="s">
        <v>59</v>
      </c>
      <c r="G17" s="3" t="s">
        <v>66</v>
      </c>
      <c r="H17" s="2"/>
      <c r="I17" s="3"/>
    </row>
    <row r="18" spans="1:9" ht="30" customHeight="1" x14ac:dyDescent="0.2">
      <c r="A18" s="2" t="s">
        <v>67</v>
      </c>
      <c r="B18" s="2">
        <v>601030806</v>
      </c>
      <c r="C18" s="3" t="s">
        <v>68</v>
      </c>
      <c r="D18" s="2" t="s">
        <v>48</v>
      </c>
      <c r="E18" s="6" t="s">
        <v>20</v>
      </c>
      <c r="F18" s="16"/>
      <c r="G18" s="3" t="s">
        <v>69</v>
      </c>
      <c r="H18" s="2"/>
      <c r="I18" s="3"/>
    </row>
    <row r="19" spans="1:9" ht="30" customHeight="1" x14ac:dyDescent="0.2">
      <c r="A19" s="2" t="s">
        <v>70</v>
      </c>
      <c r="B19" s="2">
        <v>601436180</v>
      </c>
      <c r="C19" s="3" t="s">
        <v>71</v>
      </c>
      <c r="D19" s="2" t="s">
        <v>72</v>
      </c>
      <c r="E19" s="6" t="s">
        <v>20</v>
      </c>
      <c r="F19" s="16" t="s">
        <v>59</v>
      </c>
      <c r="G19" s="3" t="s">
        <v>73</v>
      </c>
      <c r="H19" s="2"/>
      <c r="I19" s="3"/>
    </row>
    <row r="20" spans="1:9" ht="30" customHeight="1" x14ac:dyDescent="0.2">
      <c r="A20" s="2" t="s">
        <v>74</v>
      </c>
      <c r="B20" s="2">
        <v>600834236</v>
      </c>
      <c r="C20" s="3" t="s">
        <v>75</v>
      </c>
      <c r="D20" s="2" t="s">
        <v>11</v>
      </c>
      <c r="E20" s="8" t="s">
        <v>76</v>
      </c>
      <c r="F20" s="16"/>
      <c r="G20" s="3" t="s">
        <v>77</v>
      </c>
      <c r="H20" s="2"/>
      <c r="I20" s="3"/>
    </row>
    <row r="21" spans="1:9" ht="30" customHeight="1" x14ac:dyDescent="0.2">
      <c r="A21" s="2" t="s">
        <v>78</v>
      </c>
      <c r="B21" s="2">
        <v>600879077</v>
      </c>
      <c r="C21" s="3" t="s">
        <v>79</v>
      </c>
      <c r="D21" s="2" t="s">
        <v>80</v>
      </c>
      <c r="E21" s="7" t="s">
        <v>32</v>
      </c>
      <c r="F21" s="16"/>
      <c r="G21" s="3" t="s">
        <v>81</v>
      </c>
      <c r="H21" s="2"/>
      <c r="I21" s="3"/>
    </row>
    <row r="22" spans="1:9" ht="30" customHeight="1" x14ac:dyDescent="0.2">
      <c r="A22" s="2" t="s">
        <v>82</v>
      </c>
      <c r="B22" s="2">
        <v>601248862</v>
      </c>
      <c r="C22" s="3" t="s">
        <v>83</v>
      </c>
      <c r="D22" s="2" t="s">
        <v>24</v>
      </c>
      <c r="E22" s="4" t="s">
        <v>12</v>
      </c>
      <c r="F22" s="16"/>
      <c r="G22" s="3" t="s">
        <v>84</v>
      </c>
      <c r="H22" s="2"/>
      <c r="I22" s="3"/>
    </row>
    <row r="23" spans="1:9" ht="30" customHeight="1" x14ac:dyDescent="0.2">
      <c r="A23" s="2" t="s">
        <v>85</v>
      </c>
      <c r="B23" s="2">
        <v>601403228</v>
      </c>
      <c r="C23" s="3" t="s">
        <v>86</v>
      </c>
      <c r="D23" s="2" t="s">
        <v>24</v>
      </c>
      <c r="E23" s="8" t="s">
        <v>76</v>
      </c>
      <c r="F23" s="16"/>
      <c r="G23" s="3" t="s">
        <v>87</v>
      </c>
      <c r="H23" s="2"/>
      <c r="I23" s="3"/>
    </row>
    <row r="24" spans="1:9" ht="30" customHeight="1" x14ac:dyDescent="0.2">
      <c r="A24" s="2" t="s">
        <v>88</v>
      </c>
      <c r="B24" s="2">
        <v>600936618</v>
      </c>
      <c r="C24" s="3" t="s">
        <v>89</v>
      </c>
      <c r="D24" s="2" t="s">
        <v>11</v>
      </c>
      <c r="E24" s="4" t="s">
        <v>12</v>
      </c>
      <c r="F24" s="16"/>
      <c r="G24" s="3" t="s">
        <v>90</v>
      </c>
      <c r="H24" s="2"/>
      <c r="I24" s="3"/>
    </row>
    <row r="25" spans="1:9" ht="30" customHeight="1" x14ac:dyDescent="0.2">
      <c r="A25" s="2" t="s">
        <v>91</v>
      </c>
      <c r="B25" s="2">
        <v>600703286</v>
      </c>
      <c r="C25" s="3" t="s">
        <v>92</v>
      </c>
      <c r="D25" s="2" t="s">
        <v>11</v>
      </c>
      <c r="E25" s="6" t="s">
        <v>20</v>
      </c>
      <c r="F25" s="16"/>
      <c r="G25" s="3" t="s">
        <v>93</v>
      </c>
      <c r="H25" s="2"/>
      <c r="I25" s="3"/>
    </row>
    <row r="26" spans="1:9" ht="30" customHeight="1" x14ac:dyDescent="0.2">
      <c r="A26" s="2" t="s">
        <v>94</v>
      </c>
      <c r="B26" s="2">
        <v>600354841</v>
      </c>
      <c r="C26" s="3" t="s">
        <v>95</v>
      </c>
      <c r="D26" s="2" t="s">
        <v>24</v>
      </c>
      <c r="E26" s="6" t="s">
        <v>20</v>
      </c>
      <c r="F26" s="16"/>
      <c r="G26" s="3" t="s">
        <v>96</v>
      </c>
      <c r="H26" s="2"/>
      <c r="I26" s="3"/>
    </row>
    <row r="27" spans="1:9" ht="30" customHeight="1" x14ac:dyDescent="0.2">
      <c r="A27" s="2" t="s">
        <v>97</v>
      </c>
      <c r="B27" s="2">
        <v>601778564</v>
      </c>
      <c r="C27" s="3" t="s">
        <v>98</v>
      </c>
      <c r="D27" s="2" t="s">
        <v>24</v>
      </c>
      <c r="E27" s="5" t="s">
        <v>16</v>
      </c>
      <c r="F27" s="16"/>
      <c r="G27" s="3" t="s">
        <v>99</v>
      </c>
      <c r="H27" s="2"/>
      <c r="I27" s="3"/>
    </row>
    <row r="28" spans="1:9" ht="30" customHeight="1" x14ac:dyDescent="0.2">
      <c r="A28" s="2" t="s">
        <v>100</v>
      </c>
      <c r="B28" s="2">
        <v>600642731</v>
      </c>
      <c r="C28" s="3" t="s">
        <v>101</v>
      </c>
      <c r="D28" s="2" t="s">
        <v>11</v>
      </c>
      <c r="E28" s="4" t="s">
        <v>12</v>
      </c>
      <c r="F28" s="16"/>
      <c r="G28" s="3" t="s">
        <v>102</v>
      </c>
      <c r="H28" s="2"/>
      <c r="I28" s="3"/>
    </row>
    <row r="29" spans="1:9" ht="30" customHeight="1" x14ac:dyDescent="0.2">
      <c r="A29" s="2" t="s">
        <v>103</v>
      </c>
      <c r="B29" s="2">
        <v>601235476</v>
      </c>
      <c r="C29" s="3" t="s">
        <v>104</v>
      </c>
      <c r="D29" s="2" t="s">
        <v>48</v>
      </c>
      <c r="E29" s="6" t="s">
        <v>20</v>
      </c>
      <c r="F29" s="16"/>
      <c r="G29" s="3" t="s">
        <v>105</v>
      </c>
      <c r="H29" s="2"/>
      <c r="I29" s="3"/>
    </row>
    <row r="30" spans="1:9" ht="30" customHeight="1" x14ac:dyDescent="0.2">
      <c r="A30" s="2" t="s">
        <v>106</v>
      </c>
      <c r="B30" s="2">
        <v>600968263</v>
      </c>
      <c r="C30" s="3" t="s">
        <v>107</v>
      </c>
      <c r="D30" s="2" t="s">
        <v>108</v>
      </c>
      <c r="E30" s="6" t="s">
        <v>20</v>
      </c>
      <c r="F30" s="16"/>
      <c r="G30" s="3" t="s">
        <v>109</v>
      </c>
      <c r="H30" s="2"/>
      <c r="I30" s="3"/>
    </row>
    <row r="31" spans="1:9" ht="30" customHeight="1" x14ac:dyDescent="0.2">
      <c r="A31" s="2" t="s">
        <v>110</v>
      </c>
      <c r="B31" s="2">
        <v>601721298</v>
      </c>
      <c r="C31" s="3" t="s">
        <v>111</v>
      </c>
      <c r="D31" s="2" t="s">
        <v>11</v>
      </c>
      <c r="E31" s="5" t="s">
        <v>16</v>
      </c>
      <c r="F31" s="16"/>
      <c r="G31" s="3" t="s">
        <v>112</v>
      </c>
      <c r="H31" s="2"/>
      <c r="I31" s="3"/>
    </row>
    <row r="32" spans="1:9" ht="30" customHeight="1" x14ac:dyDescent="0.2">
      <c r="A32" s="2" t="s">
        <v>113</v>
      </c>
      <c r="B32" s="2">
        <v>601360652</v>
      </c>
      <c r="C32" s="3" t="s">
        <v>114</v>
      </c>
      <c r="D32" s="2" t="s">
        <v>31</v>
      </c>
      <c r="E32" s="4" t="s">
        <v>12</v>
      </c>
      <c r="F32" s="16"/>
      <c r="G32" s="3" t="s">
        <v>115</v>
      </c>
      <c r="H32" s="2"/>
      <c r="I32" s="3"/>
    </row>
    <row r="33" spans="1:9" ht="30" customHeight="1" x14ac:dyDescent="0.2">
      <c r="A33" s="2" t="s">
        <v>116</v>
      </c>
      <c r="B33" s="2">
        <v>601783952</v>
      </c>
      <c r="C33" s="3" t="s">
        <v>117</v>
      </c>
      <c r="D33" s="2" t="s">
        <v>24</v>
      </c>
      <c r="E33" s="4" t="s">
        <v>12</v>
      </c>
      <c r="F33" s="16"/>
      <c r="G33" s="3" t="s">
        <v>118</v>
      </c>
      <c r="H33" s="2"/>
      <c r="I33" s="3"/>
    </row>
    <row r="34" spans="1:9" ht="30" customHeight="1" x14ac:dyDescent="0.2">
      <c r="A34" s="2" t="s">
        <v>119</v>
      </c>
      <c r="B34" s="2">
        <v>600504491</v>
      </c>
      <c r="C34" s="3" t="s">
        <v>120</v>
      </c>
      <c r="D34" s="2" t="s">
        <v>31</v>
      </c>
      <c r="E34" s="5" t="s">
        <v>16</v>
      </c>
      <c r="F34" s="16"/>
      <c r="G34" s="3" t="s">
        <v>121</v>
      </c>
      <c r="H34" s="2"/>
      <c r="I34" s="3"/>
    </row>
    <row r="35" spans="1:9" ht="30" customHeight="1" x14ac:dyDescent="0.2">
      <c r="A35" s="2" t="s">
        <v>122</v>
      </c>
      <c r="B35" s="2">
        <v>601090822</v>
      </c>
      <c r="C35" s="3" t="s">
        <v>123</v>
      </c>
      <c r="D35" s="2" t="s">
        <v>58</v>
      </c>
      <c r="E35" s="6" t="s">
        <v>20</v>
      </c>
      <c r="F35" s="16" t="s">
        <v>59</v>
      </c>
      <c r="G35" s="3" t="s">
        <v>124</v>
      </c>
      <c r="H35" s="2"/>
      <c r="I35" s="3"/>
    </row>
    <row r="36" spans="1:9" ht="30" customHeight="1" x14ac:dyDescent="0.2">
      <c r="A36" s="2" t="s">
        <v>125</v>
      </c>
      <c r="B36" s="2">
        <v>601096969</v>
      </c>
      <c r="C36" s="3" t="s">
        <v>126</v>
      </c>
      <c r="D36" s="2" t="s">
        <v>24</v>
      </c>
      <c r="E36" s="4" t="s">
        <v>12</v>
      </c>
      <c r="F36" s="16"/>
      <c r="G36" s="3" t="s">
        <v>127</v>
      </c>
      <c r="H36" s="2"/>
      <c r="I36" s="3"/>
    </row>
    <row r="37" spans="1:9" ht="30" customHeight="1" x14ac:dyDescent="0.2">
      <c r="A37" s="2" t="s">
        <v>128</v>
      </c>
      <c r="B37" s="2">
        <v>601452598</v>
      </c>
      <c r="C37" s="3" t="s">
        <v>129</v>
      </c>
      <c r="D37" s="2" t="s">
        <v>48</v>
      </c>
      <c r="E37" s="6" t="s">
        <v>20</v>
      </c>
      <c r="F37" s="16"/>
      <c r="G37" s="3" t="s">
        <v>130</v>
      </c>
      <c r="H37" s="2"/>
      <c r="I37" s="3"/>
    </row>
    <row r="38" spans="1:9" ht="30" customHeight="1" x14ac:dyDescent="0.2">
      <c r="A38" s="2" t="s">
        <v>131</v>
      </c>
      <c r="B38" s="2">
        <v>601676102</v>
      </c>
      <c r="C38" s="3" t="s">
        <v>132</v>
      </c>
      <c r="D38" s="2" t="s">
        <v>24</v>
      </c>
      <c r="E38" s="6" t="s">
        <v>20</v>
      </c>
      <c r="F38" s="16"/>
      <c r="G38" s="3" t="s">
        <v>133</v>
      </c>
      <c r="H38" s="2"/>
      <c r="I38" s="3"/>
    </row>
    <row r="39" spans="1:9" ht="30" customHeight="1" x14ac:dyDescent="0.2">
      <c r="A39" s="2" t="s">
        <v>134</v>
      </c>
      <c r="B39" s="2">
        <v>601360453</v>
      </c>
      <c r="C39" s="3" t="s">
        <v>135</v>
      </c>
      <c r="D39" s="2" t="s">
        <v>31</v>
      </c>
      <c r="E39" s="5" t="s">
        <v>16</v>
      </c>
      <c r="F39" s="16"/>
      <c r="G39" s="3" t="s">
        <v>136</v>
      </c>
      <c r="H39" s="2"/>
      <c r="I39" s="3"/>
    </row>
    <row r="40" spans="1:9" ht="30" customHeight="1" x14ac:dyDescent="0.2">
      <c r="A40" s="2" t="s">
        <v>137</v>
      </c>
      <c r="B40" s="2">
        <v>600708633</v>
      </c>
      <c r="C40" s="3" t="s">
        <v>138</v>
      </c>
      <c r="D40" s="2" t="s">
        <v>24</v>
      </c>
      <c r="E40" s="6" t="s">
        <v>20</v>
      </c>
      <c r="F40" s="16"/>
      <c r="G40" s="3" t="s">
        <v>139</v>
      </c>
      <c r="H40" s="2"/>
      <c r="I40" s="3"/>
    </row>
    <row r="41" spans="1:9" ht="30" customHeight="1" x14ac:dyDescent="0.2">
      <c r="A41" s="2" t="s">
        <v>140</v>
      </c>
      <c r="B41" s="2">
        <v>601376786</v>
      </c>
      <c r="C41" s="3" t="s">
        <v>141</v>
      </c>
      <c r="D41" s="2" t="s">
        <v>24</v>
      </c>
      <c r="E41" s="5" t="s">
        <v>16</v>
      </c>
      <c r="F41" s="16"/>
      <c r="G41" s="3" t="s">
        <v>142</v>
      </c>
      <c r="H41" s="2"/>
      <c r="I41" s="3"/>
    </row>
    <row r="42" spans="1:9" ht="30" customHeight="1" x14ac:dyDescent="0.2">
      <c r="A42" s="2" t="s">
        <v>143</v>
      </c>
      <c r="B42" s="2">
        <v>601003241</v>
      </c>
      <c r="C42" s="3" t="s">
        <v>144</v>
      </c>
      <c r="D42" s="2" t="s">
        <v>11</v>
      </c>
      <c r="E42" s="5" t="s">
        <v>16</v>
      </c>
      <c r="F42" s="16"/>
      <c r="G42" s="3" t="s">
        <v>145</v>
      </c>
      <c r="H42" s="2"/>
      <c r="I42" s="3"/>
    </row>
    <row r="43" spans="1:9" ht="30" customHeight="1" x14ac:dyDescent="0.2">
      <c r="A43" s="2" t="s">
        <v>146</v>
      </c>
      <c r="B43" s="2">
        <v>600819827</v>
      </c>
      <c r="C43" s="3" t="s">
        <v>147</v>
      </c>
      <c r="D43" s="2" t="s">
        <v>48</v>
      </c>
      <c r="E43" s="4" t="s">
        <v>12</v>
      </c>
      <c r="F43" s="16"/>
      <c r="G43" s="3" t="s">
        <v>148</v>
      </c>
      <c r="H43" s="2"/>
      <c r="I43" s="3"/>
    </row>
    <row r="44" spans="1:9" ht="30" customHeight="1" x14ac:dyDescent="0.2">
      <c r="A44" s="2" t="s">
        <v>149</v>
      </c>
      <c r="B44" s="2">
        <v>601375297</v>
      </c>
      <c r="C44" s="3" t="s">
        <v>150</v>
      </c>
      <c r="D44" s="2" t="s">
        <v>24</v>
      </c>
      <c r="E44" s="6" t="s">
        <v>20</v>
      </c>
      <c r="F44" s="16"/>
      <c r="G44" s="3" t="s">
        <v>151</v>
      </c>
      <c r="H44" s="2"/>
      <c r="I44" s="3"/>
    </row>
    <row r="45" spans="1:9" ht="30" customHeight="1" x14ac:dyDescent="0.2">
      <c r="A45" s="2" t="s">
        <v>152</v>
      </c>
      <c r="B45" s="2">
        <v>600224402</v>
      </c>
      <c r="C45" s="3" t="s">
        <v>153</v>
      </c>
      <c r="D45" s="2" t="s">
        <v>11</v>
      </c>
      <c r="E45" s="4" t="s">
        <v>12</v>
      </c>
      <c r="F45" s="16"/>
      <c r="G45" s="3" t="s">
        <v>154</v>
      </c>
      <c r="H45" s="2"/>
      <c r="I45" s="3"/>
    </row>
    <row r="46" spans="1:9" ht="30" customHeight="1" x14ac:dyDescent="0.2">
      <c r="A46" s="2" t="s">
        <v>155</v>
      </c>
      <c r="B46" s="2">
        <v>601491663</v>
      </c>
      <c r="C46" s="3" t="s">
        <v>156</v>
      </c>
      <c r="D46" s="2" t="s">
        <v>48</v>
      </c>
      <c r="E46" s="5" t="s">
        <v>16</v>
      </c>
      <c r="F46" s="16"/>
      <c r="G46" s="3" t="s">
        <v>157</v>
      </c>
      <c r="H46" s="2"/>
      <c r="I46" s="3"/>
    </row>
    <row r="47" spans="1:9" ht="30" customHeight="1" x14ac:dyDescent="0.2">
      <c r="A47" s="2" t="s">
        <v>158</v>
      </c>
      <c r="B47" s="2">
        <v>601035325</v>
      </c>
      <c r="C47" s="9" t="s">
        <v>159</v>
      </c>
      <c r="D47" s="2" t="s">
        <v>160</v>
      </c>
      <c r="E47" s="5" t="s">
        <v>16</v>
      </c>
      <c r="F47" s="16"/>
      <c r="G47" s="3" t="s">
        <v>161</v>
      </c>
      <c r="H47" s="2"/>
      <c r="I47" s="3"/>
    </row>
    <row r="48" spans="1:9" ht="30" customHeight="1" x14ac:dyDescent="0.2">
      <c r="A48" s="2" t="s">
        <v>162</v>
      </c>
      <c r="B48" s="2">
        <v>601286608</v>
      </c>
      <c r="C48" s="3" t="s">
        <v>163</v>
      </c>
      <c r="D48" s="2" t="s">
        <v>31</v>
      </c>
      <c r="E48" s="4" t="s">
        <v>12</v>
      </c>
      <c r="F48" s="16"/>
      <c r="G48" s="3" t="s">
        <v>164</v>
      </c>
      <c r="H48" s="2"/>
      <c r="I48" s="3"/>
    </row>
    <row r="49" spans="1:9" ht="30" customHeight="1" x14ac:dyDescent="0.2">
      <c r="A49" s="2" t="s">
        <v>165</v>
      </c>
      <c r="B49" s="2">
        <v>601719537</v>
      </c>
      <c r="C49" s="3" t="s">
        <v>166</v>
      </c>
      <c r="D49" s="2" t="s">
        <v>24</v>
      </c>
      <c r="E49" s="6" t="s">
        <v>20</v>
      </c>
      <c r="F49" s="16"/>
      <c r="G49" s="3" t="s">
        <v>167</v>
      </c>
      <c r="H49" s="2"/>
      <c r="I49" s="3"/>
    </row>
    <row r="50" spans="1:9" ht="30" customHeight="1" x14ac:dyDescent="0.2">
      <c r="A50" s="2" t="s">
        <v>168</v>
      </c>
      <c r="B50" s="2">
        <v>601429332</v>
      </c>
      <c r="C50" s="3" t="s">
        <v>169</v>
      </c>
      <c r="D50" s="2" t="s">
        <v>31</v>
      </c>
      <c r="E50" s="6" t="s">
        <v>20</v>
      </c>
      <c r="F50" s="16"/>
      <c r="G50" s="3" t="s">
        <v>170</v>
      </c>
      <c r="H50" s="2"/>
      <c r="I50" s="3"/>
    </row>
    <row r="51" spans="1:9" ht="30" customHeight="1" x14ac:dyDescent="0.2">
      <c r="A51" s="2" t="s">
        <v>171</v>
      </c>
      <c r="B51" s="2">
        <v>600814526</v>
      </c>
      <c r="C51" s="9" t="s">
        <v>172</v>
      </c>
      <c r="D51" s="2" t="s">
        <v>173</v>
      </c>
      <c r="E51" s="4" t="s">
        <v>12</v>
      </c>
      <c r="F51" s="16"/>
      <c r="G51" s="3" t="s">
        <v>174</v>
      </c>
      <c r="H51" s="2"/>
      <c r="I51" s="3"/>
    </row>
    <row r="52" spans="1:9" ht="30" customHeight="1" x14ac:dyDescent="0.2">
      <c r="A52" s="2" t="s">
        <v>175</v>
      </c>
      <c r="B52" s="2">
        <v>601558538</v>
      </c>
      <c r="C52" s="3" t="s">
        <v>176</v>
      </c>
      <c r="D52" s="2" t="s">
        <v>24</v>
      </c>
      <c r="E52" s="4" t="s">
        <v>12</v>
      </c>
      <c r="F52" s="16"/>
      <c r="G52" s="3" t="s">
        <v>177</v>
      </c>
      <c r="H52" s="2"/>
      <c r="I52" s="3"/>
    </row>
    <row r="53" spans="1:9" ht="30" customHeight="1" x14ac:dyDescent="0.2">
      <c r="A53" s="2" t="s">
        <v>178</v>
      </c>
      <c r="B53" s="2">
        <v>600641233</v>
      </c>
      <c r="C53" s="3" t="s">
        <v>179</v>
      </c>
      <c r="D53" s="2" t="s">
        <v>48</v>
      </c>
      <c r="E53" s="4" t="s">
        <v>12</v>
      </c>
      <c r="F53" s="16"/>
      <c r="G53" s="3" t="s">
        <v>180</v>
      </c>
      <c r="H53" s="2"/>
      <c r="I53" s="3"/>
    </row>
    <row r="54" spans="1:9" ht="30" customHeight="1" x14ac:dyDescent="0.2">
      <c r="A54" s="2" t="s">
        <v>181</v>
      </c>
      <c r="B54" s="2">
        <v>601540140</v>
      </c>
      <c r="C54" s="3" t="s">
        <v>182</v>
      </c>
      <c r="D54" s="2" t="s">
        <v>11</v>
      </c>
      <c r="E54" s="4" t="s">
        <v>12</v>
      </c>
      <c r="F54" s="16"/>
      <c r="G54" s="3" t="s">
        <v>183</v>
      </c>
      <c r="H54" s="2"/>
      <c r="I54" s="3"/>
    </row>
    <row r="55" spans="1:9" ht="30" customHeight="1" x14ac:dyDescent="0.2">
      <c r="A55" s="2" t="s">
        <v>184</v>
      </c>
      <c r="B55" s="2">
        <v>600393270</v>
      </c>
      <c r="C55" s="3" t="s">
        <v>185</v>
      </c>
      <c r="D55" s="2" t="s">
        <v>186</v>
      </c>
      <c r="E55" s="5" t="s">
        <v>16</v>
      </c>
      <c r="F55" s="16"/>
      <c r="G55" s="3" t="s">
        <v>187</v>
      </c>
      <c r="H55" s="2"/>
      <c r="I55" s="3"/>
    </row>
    <row r="56" spans="1:9" ht="30" customHeight="1" x14ac:dyDescent="0.2">
      <c r="A56" s="2" t="s">
        <v>188</v>
      </c>
      <c r="B56" s="2">
        <v>600214803</v>
      </c>
      <c r="C56" s="3" t="s">
        <v>189</v>
      </c>
      <c r="D56" s="2" t="s">
        <v>11</v>
      </c>
      <c r="E56" s="6" t="s">
        <v>20</v>
      </c>
      <c r="F56" s="16"/>
      <c r="G56" s="3" t="s">
        <v>190</v>
      </c>
      <c r="H56" s="2"/>
      <c r="I56" s="3"/>
    </row>
    <row r="57" spans="1:9" ht="30" customHeight="1" x14ac:dyDescent="0.2">
      <c r="A57" s="2" t="s">
        <v>191</v>
      </c>
      <c r="B57" s="2">
        <v>601248349</v>
      </c>
      <c r="C57" s="3" t="s">
        <v>192</v>
      </c>
      <c r="D57" s="2" t="s">
        <v>11</v>
      </c>
      <c r="E57" s="4" t="s">
        <v>12</v>
      </c>
      <c r="F57" s="16"/>
      <c r="G57" s="3" t="s">
        <v>193</v>
      </c>
      <c r="H57" s="2"/>
      <c r="I57" s="3"/>
    </row>
    <row r="58" spans="1:9" ht="30" customHeight="1" x14ac:dyDescent="0.2">
      <c r="A58" s="2" t="s">
        <v>194</v>
      </c>
      <c r="B58" s="2">
        <v>601544174</v>
      </c>
      <c r="C58" s="3" t="s">
        <v>195</v>
      </c>
      <c r="D58" s="2" t="s">
        <v>48</v>
      </c>
      <c r="E58" s="6" t="s">
        <v>20</v>
      </c>
      <c r="F58" s="16"/>
      <c r="G58" s="3" t="s">
        <v>196</v>
      </c>
      <c r="H58" s="2"/>
      <c r="I58" s="3"/>
    </row>
    <row r="59" spans="1:9" ht="30" customHeight="1" x14ac:dyDescent="0.2">
      <c r="A59" s="2" t="s">
        <v>197</v>
      </c>
      <c r="B59" s="2">
        <v>601831421</v>
      </c>
      <c r="C59" s="3" t="s">
        <v>198</v>
      </c>
      <c r="D59" s="2" t="s">
        <v>24</v>
      </c>
      <c r="E59" s="4" t="s">
        <v>12</v>
      </c>
      <c r="F59" s="16"/>
      <c r="G59" s="3" t="s">
        <v>199</v>
      </c>
      <c r="H59" s="2"/>
      <c r="I59" s="3"/>
    </row>
    <row r="60" spans="1:9" ht="30" customHeight="1" x14ac:dyDescent="0.2">
      <c r="A60" s="2" t="s">
        <v>200</v>
      </c>
      <c r="B60" s="2">
        <v>601028088</v>
      </c>
      <c r="C60" s="3" t="s">
        <v>201</v>
      </c>
      <c r="D60" s="2" t="s">
        <v>24</v>
      </c>
      <c r="E60" s="5" t="s">
        <v>16</v>
      </c>
      <c r="F60" s="16"/>
      <c r="G60" s="3" t="s">
        <v>202</v>
      </c>
      <c r="H60" s="2"/>
      <c r="I60" s="3"/>
    </row>
    <row r="61" spans="1:9" ht="30" customHeight="1" x14ac:dyDescent="0.2">
      <c r="A61" s="2" t="s">
        <v>203</v>
      </c>
      <c r="B61" s="2">
        <v>601676657</v>
      </c>
      <c r="C61" s="3" t="s">
        <v>204</v>
      </c>
      <c r="D61" s="2" t="s">
        <v>11</v>
      </c>
      <c r="E61" s="5" t="s">
        <v>16</v>
      </c>
      <c r="F61" s="16" t="s">
        <v>59</v>
      </c>
      <c r="G61" s="3" t="s">
        <v>205</v>
      </c>
      <c r="H61" s="2"/>
      <c r="I61" s="3"/>
    </row>
    <row r="62" spans="1:9" ht="30" customHeight="1" x14ac:dyDescent="0.2">
      <c r="A62" s="2" t="s">
        <v>206</v>
      </c>
      <c r="B62" s="2">
        <v>600839926</v>
      </c>
      <c r="C62" s="9" t="s">
        <v>207</v>
      </c>
      <c r="D62" s="2" t="s">
        <v>58</v>
      </c>
      <c r="E62" s="4" t="s">
        <v>12</v>
      </c>
      <c r="F62" s="16"/>
      <c r="G62" s="3" t="s">
        <v>208</v>
      </c>
      <c r="H62" s="2"/>
      <c r="I62" s="3"/>
    </row>
    <row r="63" spans="1:9" ht="30" customHeight="1" x14ac:dyDescent="0.2">
      <c r="A63" s="2" t="s">
        <v>209</v>
      </c>
      <c r="B63" s="2">
        <v>601032195</v>
      </c>
      <c r="C63" s="3" t="s">
        <v>210</v>
      </c>
      <c r="D63" s="2" t="s">
        <v>211</v>
      </c>
      <c r="E63" s="4" t="s">
        <v>12</v>
      </c>
      <c r="F63" s="16"/>
      <c r="G63" s="3" t="s">
        <v>212</v>
      </c>
      <c r="H63" s="2"/>
      <c r="I63" s="3"/>
    </row>
    <row r="64" spans="1:9" ht="30" customHeight="1" x14ac:dyDescent="0.2">
      <c r="A64" s="2" t="s">
        <v>213</v>
      </c>
      <c r="B64" s="2">
        <v>600322883</v>
      </c>
      <c r="C64" s="3" t="s">
        <v>214</v>
      </c>
      <c r="D64" s="2" t="s">
        <v>11</v>
      </c>
      <c r="E64" s="8" t="s">
        <v>76</v>
      </c>
      <c r="F64" s="16"/>
      <c r="G64" s="3" t="s">
        <v>215</v>
      </c>
      <c r="H64" s="2"/>
      <c r="I64" s="3"/>
    </row>
    <row r="65" spans="1:9" ht="30" customHeight="1" x14ac:dyDescent="0.2">
      <c r="A65" s="2" t="s">
        <v>216</v>
      </c>
      <c r="B65" s="2">
        <v>600225886</v>
      </c>
      <c r="C65" s="3" t="s">
        <v>217</v>
      </c>
      <c r="D65" s="2" t="s">
        <v>24</v>
      </c>
      <c r="E65" s="4" t="s">
        <v>12</v>
      </c>
      <c r="F65" s="16"/>
      <c r="G65" s="3" t="s">
        <v>218</v>
      </c>
      <c r="H65" s="2"/>
      <c r="I65" s="3"/>
    </row>
    <row r="66" spans="1:9" ht="30" customHeight="1" x14ac:dyDescent="0.2">
      <c r="A66" s="2" t="s">
        <v>219</v>
      </c>
      <c r="B66" s="2">
        <v>600297787</v>
      </c>
      <c r="C66" s="3" t="s">
        <v>220</v>
      </c>
      <c r="D66" s="2" t="s">
        <v>48</v>
      </c>
      <c r="E66" s="6" t="s">
        <v>20</v>
      </c>
      <c r="F66" s="16"/>
      <c r="G66" s="3" t="s">
        <v>221</v>
      </c>
      <c r="H66" s="2"/>
      <c r="I66" s="3"/>
    </row>
    <row r="67" spans="1:9" ht="30" customHeight="1" x14ac:dyDescent="0.2">
      <c r="A67" s="2" t="s">
        <v>222</v>
      </c>
      <c r="B67" s="2">
        <v>600564150</v>
      </c>
      <c r="C67" s="3" t="s">
        <v>223</v>
      </c>
      <c r="D67" s="2" t="s">
        <v>24</v>
      </c>
      <c r="E67" s="4" t="s">
        <v>12</v>
      </c>
      <c r="F67" s="16"/>
      <c r="G67" s="3" t="s">
        <v>224</v>
      </c>
      <c r="H67" s="2"/>
      <c r="I67" s="3"/>
    </row>
    <row r="68" spans="1:9" ht="30" customHeight="1" x14ac:dyDescent="0.2">
      <c r="A68" s="2" t="s">
        <v>225</v>
      </c>
      <c r="B68" s="2">
        <v>601678762</v>
      </c>
      <c r="C68" s="3" t="s">
        <v>226</v>
      </c>
      <c r="D68" s="2" t="s">
        <v>11</v>
      </c>
      <c r="E68" s="4" t="s">
        <v>12</v>
      </c>
      <c r="F68" s="16"/>
      <c r="G68" s="3" t="s">
        <v>227</v>
      </c>
      <c r="H68" s="2"/>
      <c r="I68" s="3"/>
    </row>
    <row r="69" spans="1:9" ht="30" customHeight="1" x14ac:dyDescent="0.2">
      <c r="A69" s="2" t="s">
        <v>228</v>
      </c>
      <c r="B69" s="2">
        <v>601650453</v>
      </c>
      <c r="C69" s="3" t="s">
        <v>229</v>
      </c>
      <c r="D69" s="2" t="s">
        <v>58</v>
      </c>
      <c r="E69" s="6" t="s">
        <v>20</v>
      </c>
      <c r="F69" s="16" t="s">
        <v>59</v>
      </c>
      <c r="G69" s="3" t="s">
        <v>230</v>
      </c>
      <c r="H69" s="2"/>
      <c r="I69" s="3"/>
    </row>
    <row r="70" spans="1:9" ht="30" customHeight="1" x14ac:dyDescent="0.2">
      <c r="A70" s="2" t="s">
        <v>231</v>
      </c>
      <c r="B70" s="2">
        <v>600896888</v>
      </c>
      <c r="C70" s="3" t="s">
        <v>232</v>
      </c>
      <c r="D70" s="2" t="s">
        <v>72</v>
      </c>
      <c r="E70" s="5" t="s">
        <v>16</v>
      </c>
      <c r="F70" s="16" t="s">
        <v>59</v>
      </c>
      <c r="G70" s="3" t="s">
        <v>233</v>
      </c>
      <c r="H70" s="2"/>
      <c r="I70" s="3"/>
    </row>
    <row r="71" spans="1:9" ht="30" customHeight="1" x14ac:dyDescent="0.2">
      <c r="A71" s="2" t="s">
        <v>234</v>
      </c>
      <c r="B71" s="2">
        <v>600813362</v>
      </c>
      <c r="C71" s="3" t="s">
        <v>235</v>
      </c>
      <c r="D71" s="2" t="s">
        <v>24</v>
      </c>
      <c r="E71" s="5" t="s">
        <v>16</v>
      </c>
      <c r="F71" s="16"/>
      <c r="G71" s="3" t="s">
        <v>236</v>
      </c>
      <c r="H71" s="2"/>
      <c r="I71" s="3"/>
    </row>
    <row r="72" spans="1:9" ht="30" customHeight="1" x14ac:dyDescent="0.2">
      <c r="A72" s="2" t="s">
        <v>237</v>
      </c>
      <c r="B72" s="2">
        <v>601156055</v>
      </c>
      <c r="C72" s="3" t="s">
        <v>238</v>
      </c>
      <c r="D72" s="2" t="s">
        <v>11</v>
      </c>
      <c r="E72" s="5" t="s">
        <v>16</v>
      </c>
      <c r="F72" s="16"/>
      <c r="G72" s="3" t="s">
        <v>239</v>
      </c>
      <c r="H72" s="2"/>
      <c r="I72" s="3"/>
    </row>
    <row r="73" spans="1:9" ht="30" customHeight="1" x14ac:dyDescent="0.2">
      <c r="A73" s="2" t="s">
        <v>240</v>
      </c>
      <c r="B73" s="2">
        <v>601617105</v>
      </c>
      <c r="C73" s="3" t="s">
        <v>241</v>
      </c>
      <c r="D73" s="2" t="s">
        <v>31</v>
      </c>
      <c r="E73" s="7" t="s">
        <v>32</v>
      </c>
      <c r="F73" s="16"/>
      <c r="G73" s="3" t="s">
        <v>242</v>
      </c>
      <c r="H73" s="2"/>
      <c r="I73" s="3"/>
    </row>
    <row r="74" spans="1:9" ht="30" customHeight="1" x14ac:dyDescent="0.2">
      <c r="A74" s="2" t="s">
        <v>243</v>
      </c>
      <c r="B74" s="2">
        <v>601092628</v>
      </c>
      <c r="C74" s="3" t="s">
        <v>244</v>
      </c>
      <c r="D74" s="2" t="s">
        <v>245</v>
      </c>
      <c r="E74" s="7" t="s">
        <v>32</v>
      </c>
      <c r="F74" s="16"/>
      <c r="G74" s="3" t="s">
        <v>246</v>
      </c>
      <c r="H74" s="2"/>
      <c r="I74" s="3"/>
    </row>
    <row r="75" spans="1:9" ht="30" customHeight="1" x14ac:dyDescent="0.2">
      <c r="A75" s="2" t="s">
        <v>247</v>
      </c>
      <c r="B75" s="2">
        <v>601202879</v>
      </c>
      <c r="C75" s="3" t="s">
        <v>248</v>
      </c>
      <c r="D75" s="2" t="s">
        <v>24</v>
      </c>
      <c r="E75" s="4" t="s">
        <v>12</v>
      </c>
      <c r="F75" s="16"/>
      <c r="G75" s="3" t="s">
        <v>249</v>
      </c>
      <c r="H75" s="2"/>
      <c r="I75" s="3"/>
    </row>
    <row r="76" spans="1:9" ht="30" customHeight="1" x14ac:dyDescent="0.2">
      <c r="A76" s="2" t="s">
        <v>250</v>
      </c>
      <c r="B76" s="2">
        <v>600863559</v>
      </c>
      <c r="C76" s="3" t="s">
        <v>251</v>
      </c>
      <c r="D76" s="2" t="s">
        <v>11</v>
      </c>
      <c r="E76" s="6" t="s">
        <v>20</v>
      </c>
      <c r="F76" s="16"/>
      <c r="G76" s="3" t="s">
        <v>252</v>
      </c>
      <c r="H76" s="2"/>
      <c r="I76" s="3"/>
    </row>
    <row r="77" spans="1:9" ht="30" customHeight="1" x14ac:dyDescent="0.2">
      <c r="A77" s="2" t="s">
        <v>253</v>
      </c>
      <c r="B77" s="2">
        <v>600887208</v>
      </c>
      <c r="C77" s="3" t="s">
        <v>254</v>
      </c>
      <c r="D77" s="2" t="s">
        <v>255</v>
      </c>
      <c r="E77" s="4" t="s">
        <v>12</v>
      </c>
      <c r="F77" s="16" t="s">
        <v>59</v>
      </c>
      <c r="G77" s="3" t="s">
        <v>256</v>
      </c>
      <c r="H77" s="2"/>
      <c r="I77" s="3"/>
    </row>
    <row r="78" spans="1:9" ht="30" customHeight="1" x14ac:dyDescent="0.2">
      <c r="A78" s="2" t="s">
        <v>257</v>
      </c>
      <c r="B78" s="2">
        <v>600258283</v>
      </c>
      <c r="C78" s="3" t="s">
        <v>258</v>
      </c>
      <c r="D78" s="2" t="s">
        <v>48</v>
      </c>
      <c r="E78" s="4" t="s">
        <v>12</v>
      </c>
      <c r="F78" s="16"/>
      <c r="G78" s="3" t="s">
        <v>259</v>
      </c>
      <c r="H78" s="2"/>
      <c r="I78" s="3"/>
    </row>
    <row r="79" spans="1:9" ht="30" customHeight="1" x14ac:dyDescent="0.2">
      <c r="A79" s="2" t="s">
        <v>260</v>
      </c>
      <c r="B79" s="2">
        <v>601543165</v>
      </c>
      <c r="C79" s="3" t="s">
        <v>261</v>
      </c>
      <c r="D79" s="2" t="s">
        <v>11</v>
      </c>
      <c r="E79" s="5" t="s">
        <v>16</v>
      </c>
      <c r="F79" s="16"/>
      <c r="G79" s="3" t="s">
        <v>262</v>
      </c>
      <c r="H79" s="2"/>
      <c r="I79" s="3"/>
    </row>
    <row r="80" spans="1:9" ht="30" customHeight="1" x14ac:dyDescent="0.2">
      <c r="A80" s="2" t="s">
        <v>263</v>
      </c>
      <c r="B80" s="2">
        <v>601079121</v>
      </c>
      <c r="C80" s="3" t="s">
        <v>264</v>
      </c>
      <c r="D80" s="2" t="s">
        <v>11</v>
      </c>
      <c r="E80" s="4" t="s">
        <v>12</v>
      </c>
      <c r="F80" s="16"/>
      <c r="G80" s="3" t="s">
        <v>265</v>
      </c>
      <c r="H80" s="2"/>
      <c r="I80" s="3"/>
    </row>
    <row r="81" spans="1:9" ht="30" customHeight="1" x14ac:dyDescent="0.2">
      <c r="A81" s="2" t="s">
        <v>266</v>
      </c>
      <c r="B81" s="2">
        <v>601540143</v>
      </c>
      <c r="C81" s="3" t="s">
        <v>267</v>
      </c>
      <c r="D81" s="2" t="s">
        <v>11</v>
      </c>
      <c r="E81" s="4" t="s">
        <v>12</v>
      </c>
      <c r="F81" s="16"/>
      <c r="G81" s="3" t="s">
        <v>268</v>
      </c>
      <c r="H81" s="2"/>
      <c r="I81" s="3"/>
    </row>
    <row r="82" spans="1:9" ht="30" customHeight="1" x14ac:dyDescent="0.2">
      <c r="A82" s="2" t="s">
        <v>269</v>
      </c>
      <c r="B82" s="2">
        <v>601588676</v>
      </c>
      <c r="C82" s="3" t="s">
        <v>270</v>
      </c>
      <c r="D82" s="2" t="s">
        <v>11</v>
      </c>
      <c r="E82" s="6" t="s">
        <v>20</v>
      </c>
      <c r="F82" s="16"/>
      <c r="G82" s="3" t="s">
        <v>271</v>
      </c>
      <c r="H82" s="2"/>
      <c r="I82" s="3"/>
    </row>
    <row r="83" spans="1:9" ht="30" customHeight="1" x14ac:dyDescent="0.2">
      <c r="A83" s="2" t="s">
        <v>272</v>
      </c>
      <c r="B83" s="2">
        <v>601680575</v>
      </c>
      <c r="C83" s="3" t="s">
        <v>273</v>
      </c>
      <c r="D83" s="2" t="s">
        <v>274</v>
      </c>
      <c r="E83" s="4" t="s">
        <v>12</v>
      </c>
      <c r="F83" s="16"/>
      <c r="G83" s="3" t="s">
        <v>275</v>
      </c>
      <c r="H83" s="2"/>
      <c r="I83" s="3"/>
    </row>
    <row r="84" spans="1:9" ht="30" customHeight="1" x14ac:dyDescent="0.2">
      <c r="A84" s="2" t="s">
        <v>276</v>
      </c>
      <c r="B84" s="2">
        <v>600446107</v>
      </c>
      <c r="C84" s="3" t="s">
        <v>277</v>
      </c>
      <c r="D84" s="2" t="s">
        <v>11</v>
      </c>
      <c r="E84" s="4" t="s">
        <v>12</v>
      </c>
      <c r="F84" s="16"/>
      <c r="G84" s="3" t="s">
        <v>278</v>
      </c>
      <c r="H84" s="2"/>
      <c r="I84" s="3"/>
    </row>
    <row r="85" spans="1:9" ht="30" customHeight="1" x14ac:dyDescent="0.2">
      <c r="A85" s="2" t="s">
        <v>279</v>
      </c>
      <c r="B85" s="2">
        <v>600292635</v>
      </c>
      <c r="C85" s="3" t="s">
        <v>280</v>
      </c>
      <c r="D85" s="2" t="s">
        <v>108</v>
      </c>
      <c r="E85" s="4" t="s">
        <v>12</v>
      </c>
      <c r="F85" s="16"/>
      <c r="G85" s="3" t="s">
        <v>281</v>
      </c>
      <c r="H85" s="2"/>
      <c r="I85" s="3"/>
    </row>
    <row r="86" spans="1:9" ht="30" customHeight="1" x14ac:dyDescent="0.2">
      <c r="A86" s="2" t="s">
        <v>282</v>
      </c>
      <c r="B86" s="2">
        <v>600905613</v>
      </c>
      <c r="C86" s="3" t="s">
        <v>283</v>
      </c>
      <c r="D86" s="2" t="s">
        <v>48</v>
      </c>
      <c r="E86" s="6" t="s">
        <v>20</v>
      </c>
      <c r="F86" s="16"/>
      <c r="G86" s="3" t="s">
        <v>284</v>
      </c>
      <c r="H86" s="2"/>
      <c r="I86" s="3"/>
    </row>
    <row r="87" spans="1:9" ht="30" customHeight="1" x14ac:dyDescent="0.2">
      <c r="A87" s="2" t="s">
        <v>285</v>
      </c>
      <c r="B87" s="2">
        <v>600437476</v>
      </c>
      <c r="C87" s="3" t="s">
        <v>286</v>
      </c>
      <c r="D87" s="2" t="s">
        <v>24</v>
      </c>
      <c r="E87" s="5" t="s">
        <v>16</v>
      </c>
      <c r="F87" s="16"/>
      <c r="G87" s="3" t="s">
        <v>287</v>
      </c>
      <c r="H87" s="2"/>
      <c r="I87" s="3"/>
    </row>
    <row r="88" spans="1:9" ht="30" customHeight="1" x14ac:dyDescent="0.2">
      <c r="A88" s="2" t="s">
        <v>288</v>
      </c>
      <c r="B88" s="2">
        <v>600280862</v>
      </c>
      <c r="C88" s="3" t="s">
        <v>289</v>
      </c>
      <c r="D88" s="2" t="s">
        <v>11</v>
      </c>
      <c r="E88" s="4" t="s">
        <v>12</v>
      </c>
      <c r="F88" s="16"/>
      <c r="G88" s="3" t="s">
        <v>290</v>
      </c>
      <c r="H88" s="2"/>
      <c r="I88" s="3"/>
    </row>
    <row r="89" spans="1:9" ht="30" customHeight="1" x14ac:dyDescent="0.2">
      <c r="A89" s="2" t="s">
        <v>291</v>
      </c>
      <c r="B89" s="2">
        <v>601530437</v>
      </c>
      <c r="C89" s="3" t="s">
        <v>292</v>
      </c>
      <c r="D89" s="2" t="s">
        <v>31</v>
      </c>
      <c r="E89" s="7" t="s">
        <v>32</v>
      </c>
      <c r="F89" s="16"/>
      <c r="G89" s="3" t="s">
        <v>293</v>
      </c>
      <c r="H89" s="2"/>
      <c r="I89" s="3"/>
    </row>
    <row r="90" spans="1:9" ht="30" customHeight="1" x14ac:dyDescent="0.2">
      <c r="A90" s="2" t="s">
        <v>294</v>
      </c>
      <c r="B90" s="2">
        <v>600954642</v>
      </c>
      <c r="C90" s="3" t="s">
        <v>295</v>
      </c>
      <c r="D90" s="2" t="s">
        <v>24</v>
      </c>
      <c r="E90" s="4" t="s">
        <v>12</v>
      </c>
      <c r="F90" s="16"/>
      <c r="G90" s="3" t="s">
        <v>296</v>
      </c>
      <c r="H90" s="2"/>
      <c r="I90" s="3"/>
    </row>
    <row r="91" spans="1:9" ht="30" customHeight="1" x14ac:dyDescent="0.2">
      <c r="A91" s="2" t="s">
        <v>297</v>
      </c>
      <c r="B91" s="2">
        <v>600284527</v>
      </c>
      <c r="C91" s="3" t="s">
        <v>298</v>
      </c>
      <c r="D91" s="2" t="s">
        <v>58</v>
      </c>
      <c r="E91" s="6" t="s">
        <v>20</v>
      </c>
      <c r="F91" s="16" t="s">
        <v>59</v>
      </c>
      <c r="G91" s="3" t="s">
        <v>299</v>
      </c>
      <c r="H91" s="2"/>
      <c r="I91" s="3"/>
    </row>
    <row r="92" spans="1:9" ht="30" customHeight="1" x14ac:dyDescent="0.2">
      <c r="A92" s="2" t="s">
        <v>300</v>
      </c>
      <c r="B92" s="2">
        <v>601291303</v>
      </c>
      <c r="C92" s="9" t="s">
        <v>301</v>
      </c>
      <c r="D92" s="2" t="s">
        <v>72</v>
      </c>
      <c r="E92" s="6" t="s">
        <v>20</v>
      </c>
      <c r="F92" s="16" t="s">
        <v>59</v>
      </c>
      <c r="G92" s="3" t="s">
        <v>302</v>
      </c>
      <c r="H92" s="2"/>
      <c r="I92" s="3"/>
    </row>
    <row r="93" spans="1:9" ht="30" customHeight="1" x14ac:dyDescent="0.2">
      <c r="A93" s="2" t="s">
        <v>303</v>
      </c>
      <c r="B93" s="2">
        <v>601473954</v>
      </c>
      <c r="C93" s="3" t="s">
        <v>304</v>
      </c>
      <c r="D93" s="2" t="s">
        <v>11</v>
      </c>
      <c r="E93" s="6" t="s">
        <v>20</v>
      </c>
      <c r="F93" s="16"/>
      <c r="G93" s="3" t="s">
        <v>305</v>
      </c>
      <c r="H93" s="2"/>
      <c r="I93" s="3"/>
    </row>
    <row r="94" spans="1:9" ht="30" customHeight="1" x14ac:dyDescent="0.2">
      <c r="A94" s="2" t="s">
        <v>306</v>
      </c>
      <c r="B94" s="2">
        <v>600928595</v>
      </c>
      <c r="C94" s="3" t="s">
        <v>307</v>
      </c>
      <c r="D94" s="2" t="s">
        <v>245</v>
      </c>
      <c r="E94" s="5" t="s">
        <v>16</v>
      </c>
      <c r="F94" s="16"/>
      <c r="G94" s="3" t="s">
        <v>308</v>
      </c>
      <c r="H94" s="2"/>
      <c r="I94" s="3"/>
    </row>
    <row r="95" spans="1:9" ht="30" customHeight="1" x14ac:dyDescent="0.2">
      <c r="A95" s="2" t="s">
        <v>309</v>
      </c>
      <c r="B95" s="2">
        <v>600393004</v>
      </c>
      <c r="C95" s="3" t="s">
        <v>310</v>
      </c>
      <c r="D95" s="2" t="s">
        <v>31</v>
      </c>
      <c r="E95" s="6" t="s">
        <v>20</v>
      </c>
      <c r="F95" s="16"/>
      <c r="G95" s="3" t="s">
        <v>311</v>
      </c>
      <c r="H95" s="2"/>
      <c r="I95" s="3"/>
    </row>
    <row r="96" spans="1:9" ht="30" customHeight="1" x14ac:dyDescent="0.2">
      <c r="A96" s="2" t="s">
        <v>312</v>
      </c>
      <c r="B96" s="2">
        <v>601122195</v>
      </c>
      <c r="C96" s="3" t="s">
        <v>313</v>
      </c>
      <c r="D96" s="2" t="s">
        <v>108</v>
      </c>
      <c r="E96" s="5" t="s">
        <v>16</v>
      </c>
      <c r="F96" s="16"/>
      <c r="G96" s="3" t="s">
        <v>314</v>
      </c>
      <c r="H96" s="2"/>
      <c r="I96" s="3"/>
    </row>
    <row r="97" spans="1:9" ht="30" customHeight="1" x14ac:dyDescent="0.2">
      <c r="A97" s="2" t="s">
        <v>315</v>
      </c>
      <c r="B97" s="2">
        <v>600869786</v>
      </c>
      <c r="C97" s="3" t="s">
        <v>316</v>
      </c>
      <c r="D97" s="2" t="s">
        <v>24</v>
      </c>
      <c r="E97" s="6" t="s">
        <v>20</v>
      </c>
      <c r="F97" s="16"/>
      <c r="G97" s="3" t="s">
        <v>317</v>
      </c>
      <c r="H97" s="2"/>
      <c r="I97" s="3"/>
    </row>
    <row r="98" spans="1:9" ht="30" customHeight="1" x14ac:dyDescent="0.2">
      <c r="A98" s="2" t="s">
        <v>318</v>
      </c>
      <c r="B98" s="2">
        <v>601627632</v>
      </c>
      <c r="C98" s="3" t="s">
        <v>319</v>
      </c>
      <c r="D98" s="2" t="s">
        <v>11</v>
      </c>
      <c r="E98" s="5" t="s">
        <v>16</v>
      </c>
      <c r="F98" s="16"/>
      <c r="G98" s="3" t="s">
        <v>320</v>
      </c>
      <c r="H98" s="2"/>
      <c r="I98" s="3"/>
    </row>
    <row r="99" spans="1:9" ht="30" customHeight="1" x14ac:dyDescent="0.2">
      <c r="A99" s="2" t="s">
        <v>321</v>
      </c>
      <c r="B99" s="2">
        <v>600408049</v>
      </c>
      <c r="C99" s="3" t="s">
        <v>322</v>
      </c>
      <c r="D99" s="2" t="s">
        <v>323</v>
      </c>
      <c r="E99" s="5" t="s">
        <v>16</v>
      </c>
      <c r="F99" s="16"/>
      <c r="G99" s="3" t="s">
        <v>324</v>
      </c>
      <c r="H99" s="2"/>
      <c r="I99" s="3"/>
    </row>
    <row r="100" spans="1:9" ht="30" customHeight="1" x14ac:dyDescent="0.2">
      <c r="A100" s="2" t="s">
        <v>325</v>
      </c>
      <c r="B100" s="2">
        <v>601121109</v>
      </c>
      <c r="C100" s="9" t="s">
        <v>326</v>
      </c>
      <c r="D100" s="2" t="s">
        <v>160</v>
      </c>
      <c r="E100" s="5" t="s">
        <v>16</v>
      </c>
      <c r="F100" s="16"/>
      <c r="G100" s="3" t="s">
        <v>327</v>
      </c>
      <c r="H100" s="2"/>
      <c r="I100" s="3"/>
    </row>
    <row r="101" spans="1:9" ht="30" customHeight="1" x14ac:dyDescent="0.2">
      <c r="A101" s="2" t="s">
        <v>328</v>
      </c>
      <c r="B101" s="2">
        <v>601799881</v>
      </c>
      <c r="C101" s="3" t="s">
        <v>329</v>
      </c>
      <c r="D101" s="2" t="s">
        <v>330</v>
      </c>
      <c r="E101" s="5" t="s">
        <v>16</v>
      </c>
      <c r="F101" s="16"/>
      <c r="G101" s="3" t="s">
        <v>331</v>
      </c>
      <c r="H101" s="2"/>
      <c r="I101" s="3"/>
    </row>
    <row r="102" spans="1:9" ht="30" customHeight="1" x14ac:dyDescent="0.2">
      <c r="A102" s="2" t="s">
        <v>332</v>
      </c>
      <c r="B102" s="2">
        <v>600859503</v>
      </c>
      <c r="C102" s="3" t="s">
        <v>333</v>
      </c>
      <c r="D102" s="2" t="s">
        <v>11</v>
      </c>
      <c r="E102" s="6" t="s">
        <v>20</v>
      </c>
      <c r="F102" s="16"/>
      <c r="G102" s="3" t="s">
        <v>334</v>
      </c>
      <c r="H102" s="2"/>
      <c r="I102" s="3"/>
    </row>
    <row r="103" spans="1:9" ht="30" customHeight="1" x14ac:dyDescent="0.2">
      <c r="A103" s="2" t="s">
        <v>335</v>
      </c>
      <c r="B103" s="2">
        <v>600445119</v>
      </c>
      <c r="C103" s="3" t="s">
        <v>336</v>
      </c>
      <c r="D103" s="2" t="s">
        <v>11</v>
      </c>
      <c r="E103" s="4" t="s">
        <v>12</v>
      </c>
      <c r="F103" s="16"/>
      <c r="G103" s="3" t="s">
        <v>337</v>
      </c>
      <c r="H103" s="2"/>
      <c r="I103" s="3"/>
    </row>
    <row r="104" spans="1:9" ht="30" customHeight="1" x14ac:dyDescent="0.2">
      <c r="A104" s="2" t="s">
        <v>338</v>
      </c>
      <c r="B104" s="2">
        <v>601479387</v>
      </c>
      <c r="C104" s="3" t="s">
        <v>339</v>
      </c>
      <c r="D104" s="2" t="s">
        <v>11</v>
      </c>
      <c r="E104" s="5" t="s">
        <v>16</v>
      </c>
      <c r="F104" s="16"/>
      <c r="G104" s="3" t="s">
        <v>340</v>
      </c>
      <c r="H104" s="2"/>
      <c r="I104" s="3"/>
    </row>
    <row r="105" spans="1:9" ht="30" customHeight="1" x14ac:dyDescent="0.2">
      <c r="A105" s="2" t="s">
        <v>341</v>
      </c>
      <c r="B105" s="2">
        <v>601574175</v>
      </c>
      <c r="C105" s="3" t="s">
        <v>342</v>
      </c>
      <c r="D105" s="2" t="s">
        <v>343</v>
      </c>
      <c r="E105" s="5" t="s">
        <v>16</v>
      </c>
      <c r="F105" s="16"/>
      <c r="G105" s="3" t="s">
        <v>344</v>
      </c>
      <c r="H105" s="2"/>
      <c r="I105" s="3"/>
    </row>
    <row r="106" spans="1:9" ht="30" customHeight="1" x14ac:dyDescent="0.2">
      <c r="A106" s="2" t="s">
        <v>345</v>
      </c>
      <c r="B106" s="2">
        <v>601383519</v>
      </c>
      <c r="C106" s="9" t="s">
        <v>346</v>
      </c>
      <c r="D106" s="2" t="s">
        <v>347</v>
      </c>
      <c r="E106" s="6" t="s">
        <v>20</v>
      </c>
      <c r="F106" s="16"/>
      <c r="G106" s="3" t="s">
        <v>348</v>
      </c>
      <c r="H106" s="2"/>
      <c r="I106" s="3"/>
    </row>
    <row r="107" spans="1:9" ht="30" customHeight="1" x14ac:dyDescent="0.2">
      <c r="A107" s="2" t="s">
        <v>349</v>
      </c>
      <c r="B107" s="2">
        <v>601168743</v>
      </c>
      <c r="C107" s="3" t="s">
        <v>350</v>
      </c>
      <c r="D107" s="2" t="s">
        <v>11</v>
      </c>
      <c r="E107" s="8" t="s">
        <v>76</v>
      </c>
      <c r="F107" s="16"/>
      <c r="G107" s="3" t="s">
        <v>351</v>
      </c>
      <c r="H107" s="2"/>
      <c r="I107" s="3"/>
    </row>
    <row r="108" spans="1:9" ht="30" customHeight="1" x14ac:dyDescent="0.2">
      <c r="A108" s="2" t="s">
        <v>352</v>
      </c>
      <c r="B108" s="2">
        <v>600289573</v>
      </c>
      <c r="C108" s="3" t="s">
        <v>353</v>
      </c>
      <c r="D108" s="2" t="s">
        <v>24</v>
      </c>
      <c r="E108" s="5" t="s">
        <v>16</v>
      </c>
      <c r="F108" s="16"/>
      <c r="G108" s="3" t="s">
        <v>354</v>
      </c>
      <c r="H108" s="2"/>
      <c r="I108" s="3"/>
    </row>
    <row r="109" spans="1:9" ht="30" customHeight="1" x14ac:dyDescent="0.2">
      <c r="A109" s="2" t="s">
        <v>355</v>
      </c>
      <c r="B109" s="2">
        <v>601038295</v>
      </c>
      <c r="C109" s="3" t="s">
        <v>356</v>
      </c>
      <c r="D109" s="2" t="s">
        <v>11</v>
      </c>
      <c r="E109" s="5" t="s">
        <v>16</v>
      </c>
      <c r="F109" s="16"/>
      <c r="G109" s="3" t="s">
        <v>357</v>
      </c>
      <c r="H109" s="2"/>
      <c r="I109" s="3"/>
    </row>
    <row r="110" spans="1:9" ht="30" customHeight="1" x14ac:dyDescent="0.2">
      <c r="A110" s="2" t="s">
        <v>358</v>
      </c>
      <c r="B110" s="2">
        <v>601803019</v>
      </c>
      <c r="C110" s="3" t="s">
        <v>359</v>
      </c>
      <c r="D110" s="2" t="s">
        <v>11</v>
      </c>
      <c r="E110" s="4" t="s">
        <v>12</v>
      </c>
      <c r="F110" s="16"/>
      <c r="G110" s="3" t="s">
        <v>360</v>
      </c>
      <c r="H110" s="2"/>
      <c r="I110" s="3"/>
    </row>
    <row r="111" spans="1:9" ht="30" customHeight="1" x14ac:dyDescent="0.2">
      <c r="A111" s="2" t="s">
        <v>361</v>
      </c>
      <c r="B111" s="2">
        <v>601600458</v>
      </c>
      <c r="C111" s="3" t="s">
        <v>362</v>
      </c>
      <c r="D111" s="2" t="s">
        <v>48</v>
      </c>
      <c r="E111" s="8" t="s">
        <v>76</v>
      </c>
      <c r="F111" s="16"/>
      <c r="G111" s="3" t="s">
        <v>363</v>
      </c>
      <c r="H111" s="2"/>
      <c r="I111" s="3"/>
    </row>
    <row r="112" spans="1:9" ht="30" customHeight="1" x14ac:dyDescent="0.2">
      <c r="A112" s="2" t="s">
        <v>364</v>
      </c>
      <c r="B112" s="2">
        <v>600852457</v>
      </c>
      <c r="C112" s="3" t="s">
        <v>365</v>
      </c>
      <c r="D112" s="2" t="s">
        <v>366</v>
      </c>
      <c r="E112" s="6" t="s">
        <v>20</v>
      </c>
      <c r="F112" s="16"/>
      <c r="G112" s="3" t="s">
        <v>367</v>
      </c>
      <c r="H112" s="2"/>
      <c r="I112" s="3"/>
    </row>
    <row r="113" spans="1:9" ht="30" customHeight="1" x14ac:dyDescent="0.2">
      <c r="A113" s="2" t="s">
        <v>368</v>
      </c>
      <c r="B113" s="2">
        <v>601579778</v>
      </c>
      <c r="C113" s="3" t="s">
        <v>369</v>
      </c>
      <c r="D113" s="2" t="s">
        <v>11</v>
      </c>
      <c r="E113" s="5" t="s">
        <v>16</v>
      </c>
      <c r="F113" s="16"/>
      <c r="G113" s="3" t="s">
        <v>370</v>
      </c>
      <c r="H113" s="2"/>
      <c r="I113" s="3"/>
    </row>
    <row r="114" spans="1:9" ht="30" customHeight="1" x14ac:dyDescent="0.2">
      <c r="A114" s="2" t="s">
        <v>371</v>
      </c>
      <c r="B114" s="2">
        <v>600962403</v>
      </c>
      <c r="C114" s="3" t="s">
        <v>372</v>
      </c>
      <c r="D114" s="2" t="s">
        <v>31</v>
      </c>
      <c r="E114" s="6" t="s">
        <v>20</v>
      </c>
      <c r="F114" s="16"/>
      <c r="G114" s="3" t="s">
        <v>373</v>
      </c>
      <c r="H114" s="2"/>
      <c r="I114" s="3"/>
    </row>
    <row r="115" spans="1:9" ht="30" customHeight="1" x14ac:dyDescent="0.2">
      <c r="A115" s="2" t="s">
        <v>374</v>
      </c>
      <c r="B115" s="2">
        <v>600439012</v>
      </c>
      <c r="C115" s="3" t="s">
        <v>375</v>
      </c>
      <c r="D115" s="2" t="s">
        <v>48</v>
      </c>
      <c r="E115" s="5" t="s">
        <v>16</v>
      </c>
      <c r="F115" s="16"/>
      <c r="G115" s="3" t="s">
        <v>376</v>
      </c>
      <c r="H115" s="2"/>
      <c r="I115" s="3"/>
    </row>
    <row r="116" spans="1:9" ht="30" customHeight="1" x14ac:dyDescent="0.2">
      <c r="A116" s="2" t="s">
        <v>377</v>
      </c>
      <c r="B116" s="2">
        <v>600946816</v>
      </c>
      <c r="C116" s="3" t="s">
        <v>378</v>
      </c>
      <c r="D116" s="2" t="s">
        <v>11</v>
      </c>
      <c r="E116" s="4" t="s">
        <v>12</v>
      </c>
      <c r="F116" s="16"/>
      <c r="G116" s="3" t="s">
        <v>379</v>
      </c>
      <c r="H116" s="2"/>
      <c r="I116" s="3"/>
    </row>
    <row r="117" spans="1:9" ht="30" customHeight="1" x14ac:dyDescent="0.2">
      <c r="A117" s="2" t="s">
        <v>380</v>
      </c>
      <c r="B117" s="2">
        <v>601624560</v>
      </c>
      <c r="C117" s="3" t="s">
        <v>241</v>
      </c>
      <c r="D117" s="2" t="s">
        <v>31</v>
      </c>
      <c r="E117" s="7" t="s">
        <v>32</v>
      </c>
      <c r="F117" s="16"/>
      <c r="G117" s="3" t="s">
        <v>242</v>
      </c>
      <c r="H117" s="2"/>
      <c r="I117" s="3"/>
    </row>
    <row r="118" spans="1:9" ht="30" customHeight="1" x14ac:dyDescent="0.2">
      <c r="A118" s="2" t="s">
        <v>381</v>
      </c>
      <c r="B118" s="2">
        <v>601576187</v>
      </c>
      <c r="C118" s="3" t="s">
        <v>382</v>
      </c>
      <c r="D118" s="2" t="s">
        <v>24</v>
      </c>
      <c r="E118" s="6" t="s">
        <v>20</v>
      </c>
      <c r="F118" s="16"/>
      <c r="G118" s="3" t="s">
        <v>383</v>
      </c>
      <c r="H118" s="2"/>
      <c r="I118" s="3"/>
    </row>
    <row r="119" spans="1:9" ht="30" customHeight="1" x14ac:dyDescent="0.2">
      <c r="A119" s="2" t="s">
        <v>384</v>
      </c>
      <c r="B119" s="2">
        <v>600894507</v>
      </c>
      <c r="C119" s="3" t="s">
        <v>385</v>
      </c>
      <c r="D119" s="2" t="s">
        <v>11</v>
      </c>
      <c r="E119" s="7" t="s">
        <v>32</v>
      </c>
      <c r="F119" s="16"/>
      <c r="G119" s="3" t="s">
        <v>386</v>
      </c>
      <c r="H119" s="2"/>
      <c r="I119" s="3"/>
    </row>
    <row r="120" spans="1:9" ht="30" customHeight="1" x14ac:dyDescent="0.2">
      <c r="A120" s="2" t="s">
        <v>387</v>
      </c>
      <c r="B120" s="2">
        <v>601551946</v>
      </c>
      <c r="C120" s="3" t="s">
        <v>388</v>
      </c>
      <c r="D120" s="2" t="s">
        <v>24</v>
      </c>
      <c r="E120" s="5" t="s">
        <v>16</v>
      </c>
      <c r="F120" s="16"/>
      <c r="G120" s="3" t="s">
        <v>389</v>
      </c>
      <c r="H120" s="2"/>
      <c r="I120" s="3"/>
    </row>
    <row r="121" spans="1:9" ht="30" customHeight="1" x14ac:dyDescent="0.2">
      <c r="A121" s="2" t="s">
        <v>390</v>
      </c>
      <c r="B121" s="2">
        <v>600825535</v>
      </c>
      <c r="C121" s="3" t="s">
        <v>391</v>
      </c>
      <c r="D121" s="2" t="s">
        <v>11</v>
      </c>
      <c r="E121" s="6" t="s">
        <v>20</v>
      </c>
      <c r="F121" s="16"/>
      <c r="G121" s="3" t="s">
        <v>392</v>
      </c>
      <c r="H121" s="2"/>
      <c r="I121" s="3"/>
    </row>
    <row r="122" spans="1:9" ht="30" customHeight="1" x14ac:dyDescent="0.2">
      <c r="A122" s="2" t="s">
        <v>393</v>
      </c>
      <c r="B122" s="2">
        <v>601606244</v>
      </c>
      <c r="C122" s="3" t="s">
        <v>394</v>
      </c>
      <c r="D122" s="2" t="s">
        <v>11</v>
      </c>
      <c r="E122" s="5" t="s">
        <v>16</v>
      </c>
      <c r="F122" s="16"/>
      <c r="G122" s="3" t="s">
        <v>395</v>
      </c>
      <c r="H122" s="2"/>
      <c r="I122" s="3"/>
    </row>
    <row r="123" spans="1:9" ht="30" customHeight="1" x14ac:dyDescent="0.2">
      <c r="A123" s="2" t="s">
        <v>396</v>
      </c>
      <c r="B123" s="2">
        <v>601450150</v>
      </c>
      <c r="C123" s="3" t="s">
        <v>397</v>
      </c>
      <c r="D123" s="2" t="s">
        <v>24</v>
      </c>
      <c r="E123" s="5" t="s">
        <v>16</v>
      </c>
      <c r="F123" s="16"/>
      <c r="G123" s="3" t="s">
        <v>398</v>
      </c>
      <c r="H123" s="2"/>
      <c r="I123" s="3"/>
    </row>
    <row r="124" spans="1:9" ht="30" customHeight="1" x14ac:dyDescent="0.2">
      <c r="A124" s="2" t="s">
        <v>399</v>
      </c>
      <c r="B124" s="2">
        <v>601721521</v>
      </c>
      <c r="C124" s="3" t="s">
        <v>400</v>
      </c>
      <c r="D124" s="2" t="s">
        <v>11</v>
      </c>
      <c r="E124" s="5" t="s">
        <v>16</v>
      </c>
      <c r="F124" s="16"/>
      <c r="G124" s="3" t="s">
        <v>401</v>
      </c>
      <c r="H124" s="2"/>
      <c r="I124" s="3"/>
    </row>
    <row r="125" spans="1:9" ht="30" customHeight="1" x14ac:dyDescent="0.2">
      <c r="A125" s="2" t="s">
        <v>402</v>
      </c>
      <c r="B125" s="2">
        <v>601673606</v>
      </c>
      <c r="C125" s="3" t="s">
        <v>403</v>
      </c>
      <c r="D125" s="2" t="s">
        <v>48</v>
      </c>
      <c r="E125" s="6" t="s">
        <v>20</v>
      </c>
      <c r="F125" s="16"/>
      <c r="G125" s="3" t="s">
        <v>404</v>
      </c>
      <c r="H125" s="2"/>
      <c r="I125" s="3"/>
    </row>
    <row r="126" spans="1:9" ht="30" customHeight="1" x14ac:dyDescent="0.2">
      <c r="A126" s="2" t="s">
        <v>405</v>
      </c>
      <c r="B126" s="2">
        <v>601449749</v>
      </c>
      <c r="C126" s="3" t="s">
        <v>406</v>
      </c>
      <c r="D126" s="2" t="s">
        <v>11</v>
      </c>
      <c r="E126" s="5" t="s">
        <v>16</v>
      </c>
      <c r="F126" s="16"/>
      <c r="G126" s="3" t="s">
        <v>407</v>
      </c>
      <c r="H126" s="2"/>
      <c r="I126" s="3"/>
    </row>
    <row r="127" spans="1:9" ht="30" customHeight="1" x14ac:dyDescent="0.2">
      <c r="A127" s="2" t="s">
        <v>408</v>
      </c>
      <c r="B127" s="2">
        <v>601631771</v>
      </c>
      <c r="C127" s="3" t="s">
        <v>409</v>
      </c>
      <c r="D127" s="2" t="s">
        <v>24</v>
      </c>
      <c r="E127" s="4" t="s">
        <v>12</v>
      </c>
      <c r="F127" s="16"/>
      <c r="G127" s="3" t="s">
        <v>410</v>
      </c>
      <c r="H127" s="2"/>
      <c r="I127" s="3"/>
    </row>
    <row r="128" spans="1:9" ht="30" customHeight="1" x14ac:dyDescent="0.2">
      <c r="A128" s="2" t="s">
        <v>411</v>
      </c>
      <c r="B128" s="2">
        <v>601387646</v>
      </c>
      <c r="C128" s="3" t="s">
        <v>412</v>
      </c>
      <c r="D128" s="2" t="s">
        <v>24</v>
      </c>
      <c r="E128" s="4" t="s">
        <v>12</v>
      </c>
      <c r="F128" s="16"/>
      <c r="G128" s="3" t="s">
        <v>413</v>
      </c>
      <c r="H128" s="2"/>
      <c r="I128" s="3"/>
    </row>
    <row r="129" spans="1:9" ht="30" customHeight="1" x14ac:dyDescent="0.2">
      <c r="A129" s="2" t="s">
        <v>414</v>
      </c>
      <c r="B129" s="2">
        <v>601543453</v>
      </c>
      <c r="C129" s="3" t="s">
        <v>415</v>
      </c>
      <c r="D129" s="2" t="s">
        <v>11</v>
      </c>
      <c r="E129" s="4" t="s">
        <v>12</v>
      </c>
      <c r="F129" s="16"/>
      <c r="G129" s="3" t="s">
        <v>416</v>
      </c>
      <c r="H129" s="2"/>
      <c r="I129" s="3"/>
    </row>
    <row r="130" spans="1:9" ht="30" customHeight="1" x14ac:dyDescent="0.2">
      <c r="A130" s="2" t="s">
        <v>417</v>
      </c>
      <c r="B130" s="2">
        <v>601498177</v>
      </c>
      <c r="C130" s="3" t="s">
        <v>418</v>
      </c>
      <c r="D130" s="2" t="s">
        <v>31</v>
      </c>
      <c r="E130" s="4" t="s">
        <v>12</v>
      </c>
      <c r="F130" s="16"/>
      <c r="G130" s="3" t="s">
        <v>419</v>
      </c>
      <c r="H130" s="2"/>
      <c r="I130" s="3"/>
    </row>
    <row r="131" spans="1:9" ht="30" customHeight="1" x14ac:dyDescent="0.2">
      <c r="A131" s="2" t="s">
        <v>420</v>
      </c>
      <c r="B131" s="2">
        <v>600221586</v>
      </c>
      <c r="C131" s="3" t="s">
        <v>421</v>
      </c>
      <c r="D131" s="2" t="s">
        <v>11</v>
      </c>
      <c r="E131" s="4" t="s">
        <v>12</v>
      </c>
      <c r="F131" s="16"/>
      <c r="G131" s="3" t="s">
        <v>422</v>
      </c>
      <c r="H131" s="2"/>
      <c r="I131" s="3"/>
    </row>
    <row r="132" spans="1:9" ht="30" customHeight="1" x14ac:dyDescent="0.2">
      <c r="A132" s="2" t="s">
        <v>423</v>
      </c>
      <c r="B132" s="2">
        <v>601679145</v>
      </c>
      <c r="C132" s="3" t="s">
        <v>424</v>
      </c>
      <c r="D132" s="2" t="s">
        <v>11</v>
      </c>
      <c r="E132" s="6" t="s">
        <v>20</v>
      </c>
      <c r="F132" s="16" t="s">
        <v>59</v>
      </c>
      <c r="G132" s="3" t="s">
        <v>425</v>
      </c>
      <c r="H132" s="2"/>
      <c r="I132" s="3"/>
    </row>
    <row r="133" spans="1:9" ht="30" customHeight="1" x14ac:dyDescent="0.2">
      <c r="A133" s="2" t="s">
        <v>426</v>
      </c>
      <c r="B133" s="2">
        <v>600556209</v>
      </c>
      <c r="C133" s="3" t="s">
        <v>427</v>
      </c>
      <c r="D133" s="2" t="s">
        <v>58</v>
      </c>
      <c r="E133" s="4" t="s">
        <v>12</v>
      </c>
      <c r="F133" s="16"/>
      <c r="G133" s="3" t="s">
        <v>428</v>
      </c>
      <c r="H133" s="2"/>
      <c r="I133" s="3"/>
    </row>
    <row r="134" spans="1:9" ht="30" customHeight="1" x14ac:dyDescent="0.2">
      <c r="A134" s="2" t="s">
        <v>429</v>
      </c>
      <c r="B134" s="2">
        <v>601066997</v>
      </c>
      <c r="C134" s="3" t="s">
        <v>430</v>
      </c>
      <c r="D134" s="2" t="s">
        <v>245</v>
      </c>
      <c r="E134" s="7" t="s">
        <v>32</v>
      </c>
      <c r="F134" s="16"/>
      <c r="G134" s="3" t="s">
        <v>431</v>
      </c>
      <c r="H134" s="2"/>
      <c r="I134" s="3"/>
    </row>
    <row r="135" spans="1:9" ht="30" customHeight="1" x14ac:dyDescent="0.2">
      <c r="A135" s="2" t="s">
        <v>432</v>
      </c>
      <c r="B135" s="2">
        <v>600647883</v>
      </c>
      <c r="C135" s="3" t="s">
        <v>433</v>
      </c>
      <c r="D135" s="2" t="s">
        <v>434</v>
      </c>
      <c r="E135" s="5" t="s">
        <v>16</v>
      </c>
      <c r="F135" s="16"/>
      <c r="G135" s="3" t="s">
        <v>435</v>
      </c>
      <c r="H135" s="2"/>
      <c r="I135" s="3"/>
    </row>
    <row r="136" spans="1:9" ht="30" customHeight="1" x14ac:dyDescent="0.2">
      <c r="A136" s="2" t="s">
        <v>436</v>
      </c>
      <c r="B136" s="2">
        <v>600504627</v>
      </c>
      <c r="C136" s="3" t="s">
        <v>437</v>
      </c>
      <c r="D136" s="2" t="s">
        <v>58</v>
      </c>
      <c r="E136" s="6" t="s">
        <v>20</v>
      </c>
      <c r="F136" s="16" t="s">
        <v>59</v>
      </c>
      <c r="G136" s="3" t="s">
        <v>438</v>
      </c>
      <c r="H136" s="2"/>
      <c r="I136" s="3"/>
    </row>
    <row r="137" spans="1:9" ht="30" customHeight="1" x14ac:dyDescent="0.2">
      <c r="A137" s="2" t="s">
        <v>439</v>
      </c>
      <c r="B137" s="2">
        <v>600578311</v>
      </c>
      <c r="C137" s="3" t="s">
        <v>440</v>
      </c>
      <c r="D137" s="2" t="s">
        <v>11</v>
      </c>
      <c r="E137" s="4" t="s">
        <v>12</v>
      </c>
      <c r="F137" s="16"/>
      <c r="G137" s="3" t="s">
        <v>441</v>
      </c>
      <c r="H137" s="2"/>
      <c r="I137" s="3"/>
    </row>
    <row r="138" spans="1:9" ht="30" customHeight="1" x14ac:dyDescent="0.2">
      <c r="A138" s="2" t="s">
        <v>442</v>
      </c>
      <c r="B138" s="2">
        <v>600460255</v>
      </c>
      <c r="C138" s="3" t="s">
        <v>443</v>
      </c>
      <c r="D138" s="2" t="s">
        <v>24</v>
      </c>
      <c r="E138" s="4" t="s">
        <v>12</v>
      </c>
      <c r="F138" s="16"/>
      <c r="G138" s="3" t="s">
        <v>444</v>
      </c>
      <c r="H138" s="2"/>
      <c r="I138" s="3"/>
    </row>
    <row r="139" spans="1:9" ht="30" customHeight="1" x14ac:dyDescent="0.2">
      <c r="A139" s="2" t="s">
        <v>445</v>
      </c>
      <c r="B139" s="2">
        <v>601801754</v>
      </c>
      <c r="C139" s="3" t="s">
        <v>446</v>
      </c>
      <c r="D139" s="2" t="s">
        <v>11</v>
      </c>
      <c r="E139" s="4" t="s">
        <v>12</v>
      </c>
      <c r="F139" s="16"/>
      <c r="G139" s="3" t="s">
        <v>447</v>
      </c>
      <c r="H139" s="2"/>
      <c r="I139" s="3"/>
    </row>
    <row r="140" spans="1:9" ht="30" customHeight="1" x14ac:dyDescent="0.2">
      <c r="A140" s="2" t="s">
        <v>448</v>
      </c>
      <c r="B140" s="2">
        <v>601699105</v>
      </c>
      <c r="C140" s="3" t="s">
        <v>449</v>
      </c>
      <c r="D140" s="2" t="s">
        <v>31</v>
      </c>
      <c r="E140" s="4" t="s">
        <v>12</v>
      </c>
      <c r="F140" s="16"/>
      <c r="G140" s="3" t="s">
        <v>450</v>
      </c>
      <c r="H140" s="2"/>
      <c r="I140" s="3"/>
    </row>
    <row r="141" spans="1:9" ht="30" customHeight="1" x14ac:dyDescent="0.2">
      <c r="A141" s="2" t="s">
        <v>451</v>
      </c>
      <c r="B141" s="2">
        <v>601392469</v>
      </c>
      <c r="C141" s="3" t="s">
        <v>452</v>
      </c>
      <c r="D141" s="2" t="s">
        <v>11</v>
      </c>
      <c r="E141" s="4" t="s">
        <v>12</v>
      </c>
      <c r="F141" s="16"/>
      <c r="G141" s="3" t="s">
        <v>453</v>
      </c>
      <c r="H141" s="2"/>
      <c r="I141" s="3"/>
    </row>
    <row r="142" spans="1:9" ht="30" customHeight="1" x14ac:dyDescent="0.2">
      <c r="A142" s="2" t="s">
        <v>454</v>
      </c>
      <c r="B142" s="2">
        <v>600279713</v>
      </c>
      <c r="C142" s="3" t="s">
        <v>455</v>
      </c>
      <c r="D142" s="2" t="s">
        <v>11</v>
      </c>
      <c r="E142" s="6" t="s">
        <v>20</v>
      </c>
      <c r="F142" s="16"/>
      <c r="G142" s="3" t="s">
        <v>456</v>
      </c>
      <c r="H142" s="2"/>
      <c r="I142" s="3"/>
    </row>
    <row r="143" spans="1:9" ht="30" customHeight="1" x14ac:dyDescent="0.2">
      <c r="A143" s="2" t="s">
        <v>457</v>
      </c>
      <c r="B143" s="2">
        <v>600852357</v>
      </c>
      <c r="C143" s="3" t="s">
        <v>458</v>
      </c>
      <c r="D143" s="2" t="s">
        <v>24</v>
      </c>
      <c r="E143" s="6" t="s">
        <v>20</v>
      </c>
      <c r="F143" s="16"/>
      <c r="G143" s="3" t="s">
        <v>459</v>
      </c>
      <c r="H143" s="2"/>
      <c r="I143" s="3"/>
    </row>
    <row r="144" spans="1:9" ht="30" customHeight="1" x14ac:dyDescent="0.2">
      <c r="A144" s="2" t="s">
        <v>460</v>
      </c>
      <c r="B144" s="2">
        <v>601619608</v>
      </c>
      <c r="C144" s="3" t="s">
        <v>461</v>
      </c>
      <c r="D144" s="2" t="s">
        <v>24</v>
      </c>
      <c r="E144" s="6" t="s">
        <v>20</v>
      </c>
      <c r="F144" s="16"/>
      <c r="G144" s="3" t="s">
        <v>462</v>
      </c>
      <c r="H144" s="2"/>
      <c r="I144" s="3"/>
    </row>
    <row r="145" spans="1:9" ht="30" customHeight="1" x14ac:dyDescent="0.2">
      <c r="A145" s="2" t="s">
        <v>463</v>
      </c>
      <c r="B145" s="2">
        <v>601559239</v>
      </c>
      <c r="C145" s="3" t="s">
        <v>464</v>
      </c>
      <c r="D145" s="2" t="s">
        <v>48</v>
      </c>
      <c r="E145" s="6" t="s">
        <v>20</v>
      </c>
      <c r="F145" s="16"/>
      <c r="G145" s="3" t="s">
        <v>465</v>
      </c>
      <c r="H145" s="2"/>
      <c r="I145" s="3"/>
    </row>
    <row r="146" spans="1:9" ht="30" customHeight="1" x14ac:dyDescent="0.2">
      <c r="A146" s="2" t="s">
        <v>466</v>
      </c>
      <c r="B146" s="2">
        <v>600692516</v>
      </c>
      <c r="C146" s="3" t="s">
        <v>467</v>
      </c>
      <c r="D146" s="2" t="s">
        <v>24</v>
      </c>
      <c r="E146" s="4" t="s">
        <v>12</v>
      </c>
      <c r="F146" s="16"/>
      <c r="G146" s="3" t="s">
        <v>468</v>
      </c>
      <c r="H146" s="2"/>
      <c r="I146" s="3"/>
    </row>
    <row r="147" spans="1:9" ht="30" customHeight="1" x14ac:dyDescent="0.2">
      <c r="A147" s="2" t="s">
        <v>469</v>
      </c>
      <c r="B147" s="2">
        <v>600936734</v>
      </c>
      <c r="C147" s="3" t="s">
        <v>470</v>
      </c>
      <c r="D147" s="2" t="s">
        <v>11</v>
      </c>
      <c r="E147" s="6" t="s">
        <v>20</v>
      </c>
      <c r="F147" s="16"/>
      <c r="G147" s="3" t="s">
        <v>471</v>
      </c>
      <c r="H147" s="2"/>
      <c r="I147" s="3"/>
    </row>
    <row r="148" spans="1:9" ht="30" customHeight="1" x14ac:dyDescent="0.2">
      <c r="A148" s="2" t="s">
        <v>472</v>
      </c>
      <c r="B148" s="2">
        <v>600957891</v>
      </c>
      <c r="C148" s="3" t="s">
        <v>473</v>
      </c>
      <c r="D148" s="2" t="s">
        <v>11</v>
      </c>
      <c r="E148" s="5" t="s">
        <v>16</v>
      </c>
      <c r="F148" s="16"/>
      <c r="G148" s="3" t="s">
        <v>474</v>
      </c>
      <c r="H148" s="2"/>
      <c r="I148" s="3"/>
    </row>
    <row r="149" spans="1:9" ht="30" customHeight="1" x14ac:dyDescent="0.2">
      <c r="A149" s="2" t="s">
        <v>475</v>
      </c>
      <c r="B149" s="2">
        <v>601383121</v>
      </c>
      <c r="C149" s="3" t="s">
        <v>476</v>
      </c>
      <c r="D149" s="2" t="s">
        <v>31</v>
      </c>
      <c r="E149" s="5" t="s">
        <v>16</v>
      </c>
      <c r="F149" s="16"/>
      <c r="G149" s="3" t="s">
        <v>477</v>
      </c>
      <c r="H149" s="2"/>
      <c r="I149" s="3"/>
    </row>
    <row r="150" spans="1:9" ht="30" customHeight="1" x14ac:dyDescent="0.2">
      <c r="A150" s="2" t="s">
        <v>478</v>
      </c>
      <c r="B150" s="2">
        <v>601222881</v>
      </c>
      <c r="C150" s="3" t="s">
        <v>479</v>
      </c>
      <c r="D150" s="2" t="s">
        <v>31</v>
      </c>
      <c r="E150" s="7" t="s">
        <v>32</v>
      </c>
      <c r="F150" s="16"/>
      <c r="G150" s="3" t="s">
        <v>480</v>
      </c>
      <c r="H150" s="2"/>
      <c r="I150" s="3"/>
    </row>
    <row r="151" spans="1:9" ht="30" customHeight="1" x14ac:dyDescent="0.2">
      <c r="A151" s="2" t="s">
        <v>481</v>
      </c>
      <c r="B151" s="2">
        <v>601809239</v>
      </c>
      <c r="C151" s="3" t="s">
        <v>482</v>
      </c>
      <c r="D151" s="2" t="s">
        <v>11</v>
      </c>
      <c r="E151" s="6" t="s">
        <v>20</v>
      </c>
      <c r="F151" s="16"/>
      <c r="G151" s="3" t="s">
        <v>483</v>
      </c>
      <c r="H151" s="2"/>
      <c r="I151" s="3"/>
    </row>
    <row r="152" spans="1:9" ht="30" customHeight="1" x14ac:dyDescent="0.2">
      <c r="A152" s="2" t="s">
        <v>484</v>
      </c>
      <c r="B152" s="2">
        <v>600499825</v>
      </c>
      <c r="C152" s="3" t="s">
        <v>485</v>
      </c>
      <c r="D152" s="2" t="s">
        <v>11</v>
      </c>
      <c r="E152" s="6" t="s">
        <v>20</v>
      </c>
      <c r="F152" s="16"/>
      <c r="G152" s="3" t="s">
        <v>486</v>
      </c>
      <c r="H152" s="2"/>
      <c r="I152" s="3"/>
    </row>
    <row r="153" spans="1:9" ht="30" customHeight="1" x14ac:dyDescent="0.2">
      <c r="A153" s="2" t="s">
        <v>487</v>
      </c>
      <c r="B153" s="2">
        <v>601499384</v>
      </c>
      <c r="C153" s="3" t="s">
        <v>488</v>
      </c>
      <c r="D153" s="2" t="s">
        <v>24</v>
      </c>
      <c r="E153" s="5" t="s">
        <v>16</v>
      </c>
      <c r="F153" s="16"/>
      <c r="G153" s="3" t="s">
        <v>489</v>
      </c>
      <c r="H153" s="2"/>
      <c r="I153" s="3"/>
    </row>
    <row r="154" spans="1:9" ht="30" customHeight="1" x14ac:dyDescent="0.2">
      <c r="A154" s="2" t="s">
        <v>490</v>
      </c>
      <c r="B154" s="2">
        <v>601190515</v>
      </c>
      <c r="C154" s="3" t="s">
        <v>491</v>
      </c>
      <c r="D154" s="2" t="s">
        <v>58</v>
      </c>
      <c r="E154" s="6" t="s">
        <v>20</v>
      </c>
      <c r="F154" s="16" t="s">
        <v>59</v>
      </c>
      <c r="G154" s="3" t="s">
        <v>492</v>
      </c>
      <c r="H154" s="2"/>
      <c r="I154" s="3"/>
    </row>
    <row r="155" spans="1:9" ht="30" customHeight="1" x14ac:dyDescent="0.2">
      <c r="A155" s="2" t="s">
        <v>493</v>
      </c>
      <c r="B155" s="2">
        <v>600270513</v>
      </c>
      <c r="C155" s="3" t="s">
        <v>494</v>
      </c>
      <c r="D155" s="2" t="s">
        <v>495</v>
      </c>
      <c r="E155" s="6" t="s">
        <v>20</v>
      </c>
      <c r="F155" s="16" t="s">
        <v>59</v>
      </c>
      <c r="G155" s="3" t="s">
        <v>496</v>
      </c>
      <c r="H155" s="2"/>
      <c r="I155" s="3"/>
    </row>
    <row r="156" spans="1:9" ht="30" customHeight="1" x14ac:dyDescent="0.2">
      <c r="A156" s="2" t="s">
        <v>497</v>
      </c>
      <c r="B156" s="2">
        <v>601022448</v>
      </c>
      <c r="C156" s="3" t="s">
        <v>498</v>
      </c>
      <c r="D156" s="2" t="s">
        <v>11</v>
      </c>
      <c r="E156" s="6" t="s">
        <v>20</v>
      </c>
      <c r="F156" s="16"/>
      <c r="G156" s="3" t="s">
        <v>499</v>
      </c>
      <c r="H156" s="2"/>
      <c r="I156" s="3"/>
    </row>
    <row r="157" spans="1:9" ht="30" customHeight="1" x14ac:dyDescent="0.2">
      <c r="A157" s="2" t="s">
        <v>500</v>
      </c>
      <c r="B157" s="2">
        <v>601409307</v>
      </c>
      <c r="C157" s="3" t="s">
        <v>501</v>
      </c>
      <c r="D157" s="2" t="s">
        <v>48</v>
      </c>
      <c r="E157" s="4" t="s">
        <v>12</v>
      </c>
      <c r="F157" s="16"/>
      <c r="G157" s="3" t="s">
        <v>502</v>
      </c>
      <c r="H157" s="2"/>
      <c r="I157" s="3"/>
    </row>
    <row r="158" spans="1:9" ht="30" customHeight="1" x14ac:dyDescent="0.2">
      <c r="A158" s="2" t="s">
        <v>503</v>
      </c>
      <c r="B158" s="2">
        <v>600570120</v>
      </c>
      <c r="C158" s="3" t="s">
        <v>504</v>
      </c>
      <c r="D158" s="2" t="s">
        <v>11</v>
      </c>
      <c r="E158" s="4" t="s">
        <v>12</v>
      </c>
      <c r="F158" s="16"/>
      <c r="G158" s="3" t="s">
        <v>505</v>
      </c>
      <c r="H158" s="2"/>
      <c r="I158" s="3"/>
    </row>
    <row r="159" spans="1:9" ht="30" customHeight="1" x14ac:dyDescent="0.2">
      <c r="A159" s="2" t="s">
        <v>506</v>
      </c>
      <c r="B159" s="2">
        <v>600228402</v>
      </c>
      <c r="C159" s="3" t="s">
        <v>507</v>
      </c>
      <c r="D159" s="2" t="s">
        <v>11</v>
      </c>
      <c r="E159" s="4" t="s">
        <v>12</v>
      </c>
      <c r="F159" s="16"/>
      <c r="G159" s="3" t="s">
        <v>508</v>
      </c>
      <c r="H159" s="2"/>
      <c r="I159" s="3"/>
    </row>
    <row r="160" spans="1:9" ht="30" customHeight="1" x14ac:dyDescent="0.2">
      <c r="A160" s="2" t="s">
        <v>509</v>
      </c>
      <c r="B160" s="2">
        <v>600350423</v>
      </c>
      <c r="C160" s="3" t="s">
        <v>510</v>
      </c>
      <c r="D160" s="2" t="s">
        <v>24</v>
      </c>
      <c r="E160" s="4" t="s">
        <v>12</v>
      </c>
      <c r="F160" s="16"/>
      <c r="G160" s="3" t="s">
        <v>511</v>
      </c>
      <c r="H160" s="2"/>
      <c r="I160" s="3"/>
    </row>
    <row r="161" spans="1:9" ht="30" customHeight="1" x14ac:dyDescent="0.2">
      <c r="A161" s="2" t="s">
        <v>512</v>
      </c>
      <c r="B161" s="2">
        <v>600355121</v>
      </c>
      <c r="C161" s="3" t="s">
        <v>513</v>
      </c>
      <c r="D161" s="2" t="s">
        <v>24</v>
      </c>
      <c r="E161" s="4" t="s">
        <v>12</v>
      </c>
      <c r="F161" s="16"/>
      <c r="G161" s="3" t="s">
        <v>514</v>
      </c>
      <c r="H161" s="2"/>
      <c r="I161" s="3"/>
    </row>
    <row r="162" spans="1:9" ht="30" customHeight="1" x14ac:dyDescent="0.2">
      <c r="A162" s="2" t="s">
        <v>515</v>
      </c>
      <c r="B162" s="2">
        <v>601235309</v>
      </c>
      <c r="C162" s="3" t="s">
        <v>516</v>
      </c>
      <c r="D162" s="2" t="s">
        <v>11</v>
      </c>
      <c r="E162" s="6" t="s">
        <v>20</v>
      </c>
      <c r="F162" s="16"/>
      <c r="G162" s="3" t="s">
        <v>517</v>
      </c>
      <c r="H162" s="2"/>
      <c r="I162" s="3"/>
    </row>
    <row r="163" spans="1:9" ht="30" customHeight="1" x14ac:dyDescent="0.2">
      <c r="A163" s="2" t="s">
        <v>518</v>
      </c>
      <c r="B163" s="2">
        <v>601361093</v>
      </c>
      <c r="C163" s="3" t="s">
        <v>519</v>
      </c>
      <c r="D163" s="2" t="s">
        <v>24</v>
      </c>
      <c r="E163" s="4" t="s">
        <v>12</v>
      </c>
      <c r="F163" s="16"/>
      <c r="G163" s="3" t="s">
        <v>520</v>
      </c>
      <c r="H163" s="2"/>
      <c r="I163" s="3"/>
    </row>
    <row r="164" spans="1:9" ht="30" customHeight="1" x14ac:dyDescent="0.2">
      <c r="A164" s="2" t="s">
        <v>521</v>
      </c>
      <c r="B164" s="2">
        <v>601701519</v>
      </c>
      <c r="C164" s="3" t="s">
        <v>522</v>
      </c>
      <c r="D164" s="2" t="s">
        <v>58</v>
      </c>
      <c r="E164" s="6" t="s">
        <v>20</v>
      </c>
      <c r="F164" s="16" t="s">
        <v>59</v>
      </c>
      <c r="G164" s="3" t="s">
        <v>523</v>
      </c>
      <c r="H164" s="2"/>
      <c r="I164" s="3"/>
    </row>
    <row r="165" spans="1:9" ht="30" customHeight="1" x14ac:dyDescent="0.2">
      <c r="A165" s="2" t="s">
        <v>524</v>
      </c>
      <c r="B165" s="2">
        <v>601681932</v>
      </c>
      <c r="C165" s="3" t="s">
        <v>525</v>
      </c>
      <c r="D165" s="2" t="s">
        <v>11</v>
      </c>
      <c r="E165" s="6" t="s">
        <v>20</v>
      </c>
      <c r="F165" s="16"/>
      <c r="G165" s="3" t="s">
        <v>526</v>
      </c>
      <c r="H165" s="2"/>
      <c r="I165" s="3"/>
    </row>
    <row r="166" spans="1:9" ht="30" customHeight="1" x14ac:dyDescent="0.2">
      <c r="A166" s="2" t="s">
        <v>527</v>
      </c>
      <c r="B166" s="2">
        <v>601316596</v>
      </c>
      <c r="C166" s="3" t="s">
        <v>528</v>
      </c>
      <c r="D166" s="2" t="s">
        <v>31</v>
      </c>
      <c r="E166" s="6" t="s">
        <v>20</v>
      </c>
      <c r="F166" s="16"/>
      <c r="G166" s="3" t="s">
        <v>529</v>
      </c>
      <c r="H166" s="2"/>
      <c r="I166" s="3"/>
    </row>
    <row r="167" spans="1:9" ht="30" customHeight="1" x14ac:dyDescent="0.2">
      <c r="A167" s="2" t="s">
        <v>530</v>
      </c>
      <c r="B167" s="2">
        <v>600904759</v>
      </c>
      <c r="C167" s="3" t="s">
        <v>531</v>
      </c>
      <c r="D167" s="2" t="s">
        <v>24</v>
      </c>
      <c r="E167" s="5" t="s">
        <v>16</v>
      </c>
      <c r="F167" s="16"/>
      <c r="G167" s="3" t="s">
        <v>532</v>
      </c>
      <c r="H167" s="2"/>
      <c r="I167" s="3"/>
    </row>
    <row r="168" spans="1:9" ht="30" customHeight="1" x14ac:dyDescent="0.2">
      <c r="A168" s="2" t="s">
        <v>533</v>
      </c>
      <c r="B168" s="2">
        <v>600688880</v>
      </c>
      <c r="C168" s="3" t="s">
        <v>534</v>
      </c>
      <c r="D168" s="2" t="s">
        <v>24</v>
      </c>
      <c r="E168" s="5" t="s">
        <v>16</v>
      </c>
      <c r="F168" s="16"/>
      <c r="G168" s="3" t="s">
        <v>535</v>
      </c>
      <c r="H168" s="2"/>
      <c r="I168" s="3"/>
    </row>
    <row r="169" spans="1:9" ht="30" customHeight="1" x14ac:dyDescent="0.2">
      <c r="A169" s="2" t="s">
        <v>536</v>
      </c>
      <c r="B169" s="2">
        <v>601319890</v>
      </c>
      <c r="C169" s="3" t="s">
        <v>537</v>
      </c>
      <c r="D169" s="2" t="s">
        <v>31</v>
      </c>
      <c r="E169" s="5" t="s">
        <v>16</v>
      </c>
      <c r="F169" s="16"/>
      <c r="G169" s="3" t="s">
        <v>538</v>
      </c>
      <c r="H169" s="2"/>
      <c r="I169" s="3"/>
    </row>
    <row r="170" spans="1:9" ht="30" customHeight="1" x14ac:dyDescent="0.2">
      <c r="A170" s="2" t="s">
        <v>539</v>
      </c>
      <c r="B170" s="2">
        <v>601543982</v>
      </c>
      <c r="C170" s="3" t="s">
        <v>540</v>
      </c>
      <c r="D170" s="2" t="s">
        <v>24</v>
      </c>
      <c r="E170" s="4" t="s">
        <v>12</v>
      </c>
      <c r="F170" s="16"/>
      <c r="G170" s="3" t="s">
        <v>541</v>
      </c>
      <c r="H170" s="2"/>
      <c r="I170" s="3"/>
    </row>
    <row r="171" spans="1:9" ht="30" customHeight="1" x14ac:dyDescent="0.2">
      <c r="A171" s="2" t="s">
        <v>542</v>
      </c>
      <c r="B171" s="2">
        <v>601538749</v>
      </c>
      <c r="C171" s="3" t="s">
        <v>543</v>
      </c>
      <c r="D171" s="2" t="s">
        <v>11</v>
      </c>
      <c r="E171" s="6" t="s">
        <v>20</v>
      </c>
      <c r="F171" s="16"/>
      <c r="G171" s="3" t="s">
        <v>544</v>
      </c>
      <c r="H171" s="2"/>
      <c r="I171" s="3"/>
    </row>
    <row r="172" spans="1:9" ht="30" customHeight="1" x14ac:dyDescent="0.2">
      <c r="A172" s="2" t="s">
        <v>545</v>
      </c>
      <c r="B172" s="2">
        <v>600286199</v>
      </c>
      <c r="C172" s="3" t="s">
        <v>546</v>
      </c>
      <c r="D172" s="2" t="s">
        <v>24</v>
      </c>
      <c r="E172" s="6" t="s">
        <v>20</v>
      </c>
      <c r="F172" s="16"/>
      <c r="G172" s="3" t="s">
        <v>547</v>
      </c>
      <c r="H172" s="2"/>
      <c r="I172" s="3"/>
    </row>
    <row r="173" spans="1:9" ht="30" customHeight="1" x14ac:dyDescent="0.2">
      <c r="A173" s="2" t="s">
        <v>548</v>
      </c>
      <c r="B173" s="2">
        <v>601696821</v>
      </c>
      <c r="C173" s="3" t="s">
        <v>549</v>
      </c>
      <c r="D173" s="2" t="s">
        <v>31</v>
      </c>
      <c r="E173" s="5" t="s">
        <v>16</v>
      </c>
      <c r="F173" s="16"/>
      <c r="G173" s="3" t="s">
        <v>550</v>
      </c>
      <c r="H173" s="2"/>
      <c r="I173" s="3"/>
    </row>
    <row r="174" spans="1:9" ht="30" customHeight="1" x14ac:dyDescent="0.2">
      <c r="A174" s="2" t="s">
        <v>551</v>
      </c>
      <c r="B174" s="2">
        <v>601478023</v>
      </c>
      <c r="C174" s="3" t="s">
        <v>552</v>
      </c>
      <c r="D174" s="2" t="s">
        <v>11</v>
      </c>
      <c r="E174" s="7" t="s">
        <v>32</v>
      </c>
      <c r="F174" s="16"/>
      <c r="G174" s="3" t="s">
        <v>553</v>
      </c>
      <c r="H174" s="2"/>
      <c r="I174" s="3"/>
    </row>
    <row r="175" spans="1:9" ht="30" customHeight="1" x14ac:dyDescent="0.2">
      <c r="A175" s="2" t="s">
        <v>554</v>
      </c>
      <c r="B175" s="2">
        <v>600983119</v>
      </c>
      <c r="C175" s="3" t="s">
        <v>555</v>
      </c>
      <c r="D175" s="2" t="s">
        <v>24</v>
      </c>
      <c r="E175" s="5" t="s">
        <v>16</v>
      </c>
      <c r="F175" s="16"/>
      <c r="G175" s="3" t="s">
        <v>556</v>
      </c>
      <c r="H175" s="2"/>
      <c r="I175" s="3"/>
    </row>
    <row r="176" spans="1:9" ht="30" customHeight="1" x14ac:dyDescent="0.2">
      <c r="A176" s="2" t="s">
        <v>557</v>
      </c>
      <c r="B176" s="2">
        <v>600351917</v>
      </c>
      <c r="C176" s="3" t="s">
        <v>558</v>
      </c>
      <c r="D176" s="2" t="s">
        <v>11</v>
      </c>
      <c r="E176" s="6" t="s">
        <v>20</v>
      </c>
      <c r="F176" s="16"/>
      <c r="G176" s="3" t="s">
        <v>559</v>
      </c>
      <c r="H176" s="2"/>
      <c r="I176" s="3"/>
    </row>
    <row r="177" spans="1:9" ht="30" customHeight="1" x14ac:dyDescent="0.2">
      <c r="A177" s="2" t="s">
        <v>560</v>
      </c>
      <c r="B177" s="2">
        <v>601745616</v>
      </c>
      <c r="C177" s="3" t="s">
        <v>561</v>
      </c>
      <c r="D177" s="2" t="s">
        <v>24</v>
      </c>
      <c r="E177" s="4" t="s">
        <v>12</v>
      </c>
      <c r="F177" s="16"/>
      <c r="G177" s="3" t="s">
        <v>562</v>
      </c>
      <c r="H177" s="2"/>
      <c r="I177" s="3"/>
    </row>
    <row r="178" spans="1:9" ht="30" customHeight="1" x14ac:dyDescent="0.2">
      <c r="A178" s="2" t="s">
        <v>563</v>
      </c>
      <c r="B178" s="2">
        <v>600416094</v>
      </c>
      <c r="C178" s="3" t="s">
        <v>564</v>
      </c>
      <c r="D178" s="2" t="s">
        <v>24</v>
      </c>
      <c r="E178" s="5" t="s">
        <v>16</v>
      </c>
      <c r="F178" s="16"/>
      <c r="G178" s="3" t="s">
        <v>565</v>
      </c>
      <c r="H178" s="2"/>
      <c r="I178" s="3"/>
    </row>
    <row r="179" spans="1:9" ht="30" customHeight="1" x14ac:dyDescent="0.2">
      <c r="A179" s="2" t="s">
        <v>566</v>
      </c>
      <c r="B179" s="2">
        <v>600637143</v>
      </c>
      <c r="C179" s="3" t="s">
        <v>567</v>
      </c>
      <c r="D179" s="2" t="s">
        <v>24</v>
      </c>
      <c r="E179" s="4" t="s">
        <v>12</v>
      </c>
      <c r="F179" s="16"/>
      <c r="G179" s="3" t="s">
        <v>568</v>
      </c>
      <c r="H179" s="2"/>
      <c r="I179" s="3"/>
    </row>
    <row r="180" spans="1:9" ht="30" customHeight="1" x14ac:dyDescent="0.2">
      <c r="A180" s="2" t="s">
        <v>569</v>
      </c>
      <c r="B180" s="2">
        <v>601360969</v>
      </c>
      <c r="C180" s="3" t="s">
        <v>519</v>
      </c>
      <c r="D180" s="2" t="s">
        <v>24</v>
      </c>
      <c r="E180" s="4" t="s">
        <v>12</v>
      </c>
      <c r="F180" s="16"/>
      <c r="G180" s="3" t="s">
        <v>520</v>
      </c>
      <c r="H180" s="2"/>
      <c r="I180" s="3"/>
    </row>
    <row r="181" spans="1:9" ht="30" customHeight="1" x14ac:dyDescent="0.2">
      <c r="A181" s="2" t="s">
        <v>570</v>
      </c>
      <c r="B181" s="2">
        <v>601381098</v>
      </c>
      <c r="C181" s="3" t="s">
        <v>571</v>
      </c>
      <c r="D181" s="2" t="s">
        <v>24</v>
      </c>
      <c r="E181" s="6" t="s">
        <v>20</v>
      </c>
      <c r="F181" s="16"/>
      <c r="G181" s="3" t="s">
        <v>572</v>
      </c>
      <c r="H181" s="2"/>
      <c r="I181" s="3"/>
    </row>
    <row r="182" spans="1:9" ht="30" customHeight="1" x14ac:dyDescent="0.2">
      <c r="A182" s="2" t="s">
        <v>573</v>
      </c>
      <c r="B182" s="2">
        <v>600556320</v>
      </c>
      <c r="C182" s="3" t="s">
        <v>574</v>
      </c>
      <c r="D182" s="2" t="s">
        <v>11</v>
      </c>
      <c r="E182" s="4" t="s">
        <v>12</v>
      </c>
      <c r="F182" s="16"/>
      <c r="G182" s="3" t="s">
        <v>575</v>
      </c>
      <c r="H182" s="2"/>
      <c r="I182" s="3"/>
    </row>
    <row r="183" spans="1:9" ht="30" customHeight="1" x14ac:dyDescent="0.2">
      <c r="A183" s="2" t="s">
        <v>576</v>
      </c>
      <c r="B183" s="2">
        <v>601675612</v>
      </c>
      <c r="C183" s="3" t="s">
        <v>577</v>
      </c>
      <c r="D183" s="2" t="s">
        <v>58</v>
      </c>
      <c r="E183" s="5" t="s">
        <v>16</v>
      </c>
      <c r="F183" s="16"/>
      <c r="G183" s="3" t="s">
        <v>578</v>
      </c>
      <c r="H183" s="2"/>
      <c r="I183" s="3"/>
    </row>
    <row r="184" spans="1:9" ht="30" customHeight="1" x14ac:dyDescent="0.2">
      <c r="A184" s="2" t="s">
        <v>579</v>
      </c>
      <c r="B184" s="2">
        <v>600795425</v>
      </c>
      <c r="C184" s="3" t="s">
        <v>580</v>
      </c>
      <c r="D184" s="2" t="s">
        <v>11</v>
      </c>
      <c r="E184" s="4" t="s">
        <v>12</v>
      </c>
      <c r="F184" s="16"/>
      <c r="G184" s="3" t="s">
        <v>581</v>
      </c>
      <c r="H184" s="2"/>
      <c r="I184" s="3"/>
    </row>
    <row r="185" spans="1:9" ht="30" customHeight="1" x14ac:dyDescent="0.2">
      <c r="A185" s="2" t="s">
        <v>582</v>
      </c>
      <c r="B185" s="2">
        <v>600983724</v>
      </c>
      <c r="C185" s="3" t="s">
        <v>583</v>
      </c>
      <c r="D185" s="2" t="s">
        <v>11</v>
      </c>
      <c r="E185" s="5" t="s">
        <v>16</v>
      </c>
      <c r="F185" s="16" t="s">
        <v>59</v>
      </c>
      <c r="G185" s="3" t="s">
        <v>584</v>
      </c>
      <c r="H185" s="2"/>
      <c r="I185" s="3"/>
    </row>
    <row r="186" spans="1:9" ht="30" customHeight="1" x14ac:dyDescent="0.2">
      <c r="A186" s="2" t="s">
        <v>585</v>
      </c>
      <c r="B186" s="2">
        <v>601817913</v>
      </c>
      <c r="C186" s="3" t="s">
        <v>586</v>
      </c>
      <c r="D186" s="2" t="s">
        <v>11</v>
      </c>
      <c r="E186" s="4" t="s">
        <v>12</v>
      </c>
      <c r="F186" s="16"/>
      <c r="G186" s="3" t="s">
        <v>587</v>
      </c>
      <c r="H186" s="2"/>
      <c r="I186" s="3"/>
    </row>
    <row r="187" spans="1:9" ht="30" customHeight="1" x14ac:dyDescent="0.2">
      <c r="A187" s="2" t="s">
        <v>588</v>
      </c>
      <c r="B187" s="2">
        <v>600262858</v>
      </c>
      <c r="C187" s="3" t="s">
        <v>589</v>
      </c>
      <c r="D187" s="2" t="s">
        <v>31</v>
      </c>
      <c r="E187" s="4" t="s">
        <v>12</v>
      </c>
      <c r="F187" s="16"/>
      <c r="G187" s="3" t="s">
        <v>590</v>
      </c>
      <c r="H187" s="2"/>
      <c r="I187" s="3"/>
    </row>
    <row r="188" spans="1:9" ht="30" customHeight="1" x14ac:dyDescent="0.2">
      <c r="A188" s="2" t="s">
        <v>591</v>
      </c>
      <c r="B188" s="2">
        <v>600871726</v>
      </c>
      <c r="C188" s="3" t="s">
        <v>592</v>
      </c>
      <c r="D188" s="2" t="s">
        <v>24</v>
      </c>
      <c r="E188" s="6" t="s">
        <v>20</v>
      </c>
      <c r="F188" s="16"/>
      <c r="G188" s="3" t="s">
        <v>593</v>
      </c>
      <c r="H188" s="2"/>
      <c r="I188" s="3"/>
    </row>
    <row r="189" spans="1:9" ht="30" customHeight="1" x14ac:dyDescent="0.2">
      <c r="A189" s="2" t="s">
        <v>594</v>
      </c>
      <c r="B189" s="2">
        <v>600696302</v>
      </c>
      <c r="C189" s="3" t="s">
        <v>595</v>
      </c>
      <c r="D189" s="2" t="s">
        <v>48</v>
      </c>
      <c r="E189" s="5" t="s">
        <v>16</v>
      </c>
      <c r="F189" s="16"/>
      <c r="G189" s="3" t="s">
        <v>596</v>
      </c>
      <c r="H189" s="2"/>
      <c r="I189" s="3"/>
    </row>
    <row r="190" spans="1:9" ht="30" customHeight="1" x14ac:dyDescent="0.2">
      <c r="A190" s="2" t="s">
        <v>597</v>
      </c>
      <c r="B190" s="2">
        <v>600346498</v>
      </c>
      <c r="C190" s="3" t="s">
        <v>598</v>
      </c>
      <c r="D190" s="2" t="s">
        <v>31</v>
      </c>
      <c r="E190" s="5" t="s">
        <v>16</v>
      </c>
      <c r="F190" s="16"/>
      <c r="G190" s="3" t="s">
        <v>599</v>
      </c>
      <c r="H190" s="2"/>
      <c r="I190" s="3"/>
    </row>
    <row r="191" spans="1:9" ht="30" customHeight="1" x14ac:dyDescent="0.2">
      <c r="A191" s="2" t="s">
        <v>600</v>
      </c>
      <c r="B191" s="2">
        <v>601028642</v>
      </c>
      <c r="C191" s="3" t="s">
        <v>601</v>
      </c>
      <c r="D191" s="2" t="s">
        <v>11</v>
      </c>
      <c r="E191" s="5" t="s">
        <v>16</v>
      </c>
      <c r="F191" s="16"/>
      <c r="G191" s="3" t="s">
        <v>602</v>
      </c>
      <c r="H191" s="2"/>
      <c r="I191" s="3"/>
    </row>
    <row r="192" spans="1:9" ht="30" customHeight="1" x14ac:dyDescent="0.2">
      <c r="A192" s="2" t="s">
        <v>603</v>
      </c>
      <c r="B192" s="2">
        <v>601122100</v>
      </c>
      <c r="C192" s="3" t="s">
        <v>604</v>
      </c>
      <c r="D192" s="2" t="s">
        <v>31</v>
      </c>
      <c r="E192" s="6" t="s">
        <v>20</v>
      </c>
      <c r="F192" s="16"/>
      <c r="G192" s="3" t="s">
        <v>605</v>
      </c>
      <c r="H192" s="2"/>
      <c r="I192" s="3"/>
    </row>
    <row r="193" spans="1:9" ht="30" customHeight="1" x14ac:dyDescent="0.2">
      <c r="A193" s="2" t="s">
        <v>606</v>
      </c>
      <c r="B193" s="2">
        <v>601173512</v>
      </c>
      <c r="C193" s="3" t="s">
        <v>607</v>
      </c>
      <c r="D193" s="2" t="s">
        <v>31</v>
      </c>
      <c r="E193" s="6" t="s">
        <v>20</v>
      </c>
      <c r="F193" s="16"/>
      <c r="G193" s="3" t="s">
        <v>608</v>
      </c>
      <c r="H193" s="2"/>
      <c r="I193" s="3"/>
    </row>
    <row r="194" spans="1:9" ht="30" customHeight="1" x14ac:dyDescent="0.2">
      <c r="A194" s="2" t="s">
        <v>609</v>
      </c>
      <c r="B194" s="2">
        <v>600918753</v>
      </c>
      <c r="C194" s="3" t="s">
        <v>610</v>
      </c>
      <c r="D194" s="2" t="s">
        <v>24</v>
      </c>
      <c r="E194" s="5" t="s">
        <v>16</v>
      </c>
      <c r="F194" s="16"/>
      <c r="G194" s="3" t="s">
        <v>611</v>
      </c>
      <c r="H194" s="2"/>
      <c r="I194" s="3"/>
    </row>
    <row r="195" spans="1:9" ht="30" customHeight="1" x14ac:dyDescent="0.2">
      <c r="A195" s="2" t="s">
        <v>612</v>
      </c>
      <c r="B195" s="2">
        <v>601028642</v>
      </c>
      <c r="C195" s="3" t="s">
        <v>613</v>
      </c>
      <c r="D195" s="2" t="s">
        <v>31</v>
      </c>
      <c r="E195" s="4" t="s">
        <v>12</v>
      </c>
      <c r="F195" s="16"/>
      <c r="G195" s="3" t="s">
        <v>614</v>
      </c>
      <c r="H195" s="2"/>
      <c r="I195" s="3"/>
    </row>
    <row r="196" spans="1:9" ht="30" customHeight="1" x14ac:dyDescent="0.2">
      <c r="A196" s="2" t="s">
        <v>615</v>
      </c>
      <c r="B196" s="2">
        <v>600994436</v>
      </c>
      <c r="C196" s="3" t="s">
        <v>616</v>
      </c>
      <c r="D196" s="2" t="s">
        <v>58</v>
      </c>
      <c r="E196" s="8" t="s">
        <v>76</v>
      </c>
      <c r="F196" s="16" t="s">
        <v>59</v>
      </c>
      <c r="G196" s="3" t="s">
        <v>617</v>
      </c>
      <c r="H196" s="2"/>
      <c r="I196" s="3"/>
    </row>
    <row r="197" spans="1:9" ht="30" customHeight="1" x14ac:dyDescent="0.2">
      <c r="A197" s="2" t="s">
        <v>618</v>
      </c>
      <c r="B197" s="2">
        <v>601035855</v>
      </c>
      <c r="C197" s="3" t="s">
        <v>619</v>
      </c>
      <c r="D197" s="2" t="s">
        <v>31</v>
      </c>
      <c r="E197" s="5" t="s">
        <v>16</v>
      </c>
      <c r="F197" s="16"/>
      <c r="G197" s="3" t="s">
        <v>620</v>
      </c>
      <c r="H197" s="2"/>
      <c r="I197" s="3"/>
    </row>
    <row r="198" spans="1:9" ht="30" customHeight="1" x14ac:dyDescent="0.2">
      <c r="A198" s="2" t="s">
        <v>621</v>
      </c>
      <c r="B198" s="2">
        <v>601530990</v>
      </c>
      <c r="C198" s="3" t="s">
        <v>622</v>
      </c>
      <c r="D198" s="2" t="s">
        <v>11</v>
      </c>
      <c r="E198" s="5" t="s">
        <v>16</v>
      </c>
      <c r="F198" s="16"/>
      <c r="G198" s="3" t="s">
        <v>623</v>
      </c>
      <c r="H198" s="2"/>
      <c r="I198" s="3"/>
    </row>
    <row r="199" spans="1:9" ht="30" customHeight="1" x14ac:dyDescent="0.2">
      <c r="A199" s="2" t="s">
        <v>624</v>
      </c>
      <c r="B199" s="2">
        <v>601116303</v>
      </c>
      <c r="C199" s="3" t="s">
        <v>625</v>
      </c>
      <c r="D199" s="2" t="s">
        <v>31</v>
      </c>
      <c r="E199" s="5" t="s">
        <v>16</v>
      </c>
      <c r="F199" s="16"/>
      <c r="G199" s="3" t="s">
        <v>626</v>
      </c>
      <c r="H199" s="2"/>
      <c r="I199" s="3"/>
    </row>
    <row r="200" spans="1:9" ht="30" customHeight="1" x14ac:dyDescent="0.2">
      <c r="A200" s="2" t="s">
        <v>627</v>
      </c>
      <c r="B200" s="2">
        <v>600907144</v>
      </c>
      <c r="C200" s="3" t="s">
        <v>628</v>
      </c>
      <c r="D200" s="2" t="s">
        <v>11</v>
      </c>
      <c r="E200" s="5" t="s">
        <v>16</v>
      </c>
      <c r="F200" s="16"/>
      <c r="G200" s="3" t="s">
        <v>629</v>
      </c>
      <c r="H200" s="2"/>
      <c r="I200" s="3"/>
    </row>
    <row r="201" spans="1:9" ht="30" customHeight="1" x14ac:dyDescent="0.2">
      <c r="A201" s="2" t="s">
        <v>630</v>
      </c>
      <c r="B201" s="2">
        <v>600918710</v>
      </c>
      <c r="C201" s="3" t="s">
        <v>631</v>
      </c>
      <c r="D201" s="2" t="s">
        <v>24</v>
      </c>
      <c r="E201" s="5" t="s">
        <v>16</v>
      </c>
      <c r="F201" s="16"/>
      <c r="G201" s="3" t="s">
        <v>632</v>
      </c>
      <c r="H201" s="2"/>
      <c r="I201" s="3"/>
    </row>
  </sheetData>
  <autoFilter ref="A1:I201" xr:uid="{00000000-0009-0000-0000-000000000000}"/>
  <dataValidations disablePrompts="1" count="1">
    <dataValidation type="list" allowBlank="1" promptTitle="Manuell vurdering" prompt="Velg din egen vurdering hvis du er uenig med modellen" sqref="H2:H201" xr:uid="{00000000-0002-0000-0000-000000000000}">
      <formula1>"positiv,negativ,nøytral,uklart,ikke relevant"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zoomScaleNormal="100" workbookViewId="0">
      <selection activeCell="D1" sqref="D1:D1048576"/>
    </sheetView>
  </sheetViews>
  <sheetFormatPr baseColWidth="10" defaultColWidth="8.6640625" defaultRowHeight="15" x14ac:dyDescent="0.2"/>
  <cols>
    <col min="1" max="1" width="20" customWidth="1"/>
    <col min="2" max="3" width="12" customWidth="1"/>
    <col min="4" max="4" width="16" customWidth="1"/>
  </cols>
  <sheetData>
    <row r="1" spans="1:4" x14ac:dyDescent="0.2">
      <c r="A1" s="10" t="s">
        <v>633</v>
      </c>
    </row>
    <row r="2" spans="1:4" x14ac:dyDescent="0.2">
      <c r="A2" s="11" t="s">
        <v>4</v>
      </c>
      <c r="B2" s="11" t="s">
        <v>634</v>
      </c>
      <c r="C2" s="11" t="s">
        <v>635</v>
      </c>
      <c r="D2" s="11" t="s">
        <v>636</v>
      </c>
    </row>
    <row r="3" spans="1:4" x14ac:dyDescent="0.2">
      <c r="A3" s="12" t="s">
        <v>16</v>
      </c>
      <c r="B3" s="12">
        <f>COUNTIF(Konkordanser!$E$2:$E$201,$A3)</f>
        <v>59</v>
      </c>
      <c r="C3" s="13">
        <f>IFERROR($B3/$B$8,0)</f>
        <v>0.29499999999999998</v>
      </c>
      <c r="D3" s="12">
        <f>COUNTIFS(Konkordanser!$H$2:$H$201,"&lt;&gt;",Konkordanser!$H$2:$H$201,"&lt;&gt;"&amp;Konkordanser!$E$2:$E$201)</f>
        <v>0</v>
      </c>
    </row>
    <row r="4" spans="1:4" x14ac:dyDescent="0.2">
      <c r="A4" s="12" t="s">
        <v>12</v>
      </c>
      <c r="B4" s="12">
        <f>COUNTIF(Konkordanser!$E$2:$E$201,$A4)</f>
        <v>67</v>
      </c>
      <c r="C4" s="13">
        <f>IFERROR($B4/$B$8,0)</f>
        <v>0.33500000000000002</v>
      </c>
      <c r="D4" s="12">
        <f>COUNTIFS(Konkordanser!$H$2:$H$201,"&lt;&gt;",Konkordanser!$H$2:$H$201,"&lt;&gt;"&amp;Konkordanser!$E$2:$E$201)</f>
        <v>0</v>
      </c>
    </row>
    <row r="5" spans="1:4" x14ac:dyDescent="0.2">
      <c r="A5" s="12" t="s">
        <v>20</v>
      </c>
      <c r="B5" s="12">
        <f>COUNTIF(Konkordanser!$E$2:$E$201,$A5)</f>
        <v>57</v>
      </c>
      <c r="C5" s="13">
        <f>IFERROR($B5/$B$8,0)</f>
        <v>0.28499999999999998</v>
      </c>
      <c r="D5" s="12">
        <f>COUNTIFS(Konkordanser!$H$2:$H$201,"&lt;&gt;",Konkordanser!$H$2:$H$201,"&lt;&gt;"&amp;Konkordanser!$E$2:$E$201)</f>
        <v>0</v>
      </c>
    </row>
    <row r="6" spans="1:4" x14ac:dyDescent="0.2">
      <c r="A6" s="12" t="s">
        <v>76</v>
      </c>
      <c r="B6" s="12">
        <f>COUNTIF(Konkordanser!$E$2:$E$201,$A6)</f>
        <v>6</v>
      </c>
      <c r="C6" s="13">
        <f>IFERROR($B6/$B$8,0)</f>
        <v>0.03</v>
      </c>
      <c r="D6" s="12">
        <f>COUNTIFS(Konkordanser!$H$2:$H$201,"&lt;&gt;",Konkordanser!$H$2:$H$201,"&lt;&gt;"&amp;Konkordanser!$E$2:$E$201)</f>
        <v>0</v>
      </c>
    </row>
    <row r="7" spans="1:4" x14ac:dyDescent="0.2">
      <c r="A7" s="12" t="s">
        <v>32</v>
      </c>
      <c r="B7" s="12">
        <f>COUNTIF(Konkordanser!$E$2:$E$201,$A7)</f>
        <v>11</v>
      </c>
      <c r="C7" s="13">
        <f>IFERROR($B7/$B$8,0)</f>
        <v>5.5E-2</v>
      </c>
      <c r="D7" s="12">
        <f>COUNTIFS(Konkordanser!$H$2:$H$201,"&lt;&gt;",Konkordanser!$H$2:$H$201,"&lt;&gt;"&amp;Konkordanser!$E$2:$E$201)</f>
        <v>0</v>
      </c>
    </row>
    <row r="8" spans="1:4" x14ac:dyDescent="0.2">
      <c r="A8" s="14" t="s">
        <v>637</v>
      </c>
      <c r="B8" s="14">
        <f>SUM($B$3:$B$7)</f>
        <v>200</v>
      </c>
    </row>
    <row r="10" spans="1:4" x14ac:dyDescent="0.2">
      <c r="A10" s="12" t="s">
        <v>638</v>
      </c>
      <c r="B10" s="12">
        <f>COUNTIF(Konkordanser!$F$2:$F$201,"ungdomsorg")</f>
        <v>17</v>
      </c>
      <c r="C10" s="13">
        <f>IFERROR($B10/$B$8,0)</f>
        <v>8.5000000000000006E-2</v>
      </c>
    </row>
    <row r="12" spans="1:4" x14ac:dyDescent="0.2">
      <c r="A12" s="15" t="s">
        <v>639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Konkordanser</vt:lpstr>
      <vt:lpstr>Sammendrag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Jon Carlstedt Tønnessen</cp:lastModifiedBy>
  <cp:revision>0</cp:revision>
  <dcterms:created xsi:type="dcterms:W3CDTF">2026-07-28T21:53:57Z</dcterms:created>
  <dcterms:modified xsi:type="dcterms:W3CDTF">2026-07-28T23:31:05Z</dcterms:modified>
  <dc:language>en-US</dc:language>
</cp:coreProperties>
</file>